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embeddings/oleObject2.bin" ContentType="application/vnd.openxmlformats-officedocument.oleObject"/>
  <Override PartName="/xl/drawings/drawing4.xml" ContentType="application/vnd.openxmlformats-officedocument.drawing+xml"/>
  <Override PartName="/xl/embeddings/oleObject3.bin" ContentType="application/vnd.openxmlformats-officedocument.oleObject"/>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drawings/drawing7.xml" ContentType="application/vnd.openxmlformats-officedocument.drawing+xml"/>
  <Override PartName="/xl/embeddings/oleObject6.bin" ContentType="application/vnd.openxmlformats-officedocument.oleObject"/>
  <Override PartName="/xl/drawings/drawing8.xml" ContentType="application/vnd.openxmlformats-officedocument.drawing+xml"/>
  <Override PartName="/xl/embeddings/oleObject7.bin" ContentType="application/vnd.openxmlformats-officedocument.oleObject"/>
  <Override PartName="/xl/drawings/drawing9.xml" ContentType="application/vnd.openxmlformats-officedocument.drawing+xml"/>
  <Override PartName="/xl/embeddings/oleObject8.bin" ContentType="application/vnd.openxmlformats-officedocument.oleObject"/>
  <Override PartName="/xl/drawings/drawing10.xml" ContentType="application/vnd.openxmlformats-officedocument.drawing+xml"/>
  <Override PartName="/xl/embeddings/oleObject9.bin" ContentType="application/vnd.openxmlformats-officedocument.oleObject"/>
  <Override PartName="/xl/drawings/drawing11.xml" ContentType="application/vnd.openxmlformats-officedocument.drawing+xml"/>
  <Override PartName="/xl/embeddings/oleObject10.bin" ContentType="application/vnd.openxmlformats-officedocument.oleObject"/>
  <Override PartName="/xl/drawings/drawing12.xml" ContentType="application/vnd.openxmlformats-officedocument.drawing+xml"/>
  <Override PartName="/xl/embeddings/oleObject11.bin" ContentType="application/vnd.openxmlformats-officedocument.oleObject"/>
  <Override PartName="/xl/drawings/drawing13.xml" ContentType="application/vnd.openxmlformats-officedocument.drawing+xml"/>
  <Override PartName="/xl/embeddings/oleObject12.bin" ContentType="application/vnd.openxmlformats-officedocument.oleObject"/>
  <Override PartName="/xl/drawings/drawing14.xml" ContentType="application/vnd.openxmlformats-officedocument.drawing+xml"/>
  <Override PartName="/xl/embeddings/oleObject1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gabri\Downloads\"/>
    </mc:Choice>
  </mc:AlternateContent>
  <xr:revisionPtr revIDLastSave="0" documentId="13_ncr:1_{97401AA4-01FD-4B2D-A627-CE2ACEE7F4DA}" xr6:coauthVersionLast="47" xr6:coauthVersionMax="47" xr10:uidLastSave="{00000000-0000-0000-0000-000000000000}"/>
  <bookViews>
    <workbookView xWindow="-108" yWindow="-108" windowWidth="30936" windowHeight="16776" tabRatio="905" activeTab="3" xr2:uid="{00000000-000D-0000-FFFF-FFFF00000000}"/>
  </bookViews>
  <sheets>
    <sheet name="Capa" sheetId="17" r:id="rId1"/>
    <sheet name="Sumário" sheetId="20" r:id="rId2"/>
    <sheet name="Critério" sheetId="19" r:id="rId3"/>
    <sheet name="Elemento 01" sheetId="4" r:id="rId4"/>
    <sheet name="Elemento 02" sheetId="5" r:id="rId5"/>
    <sheet name="Elemento 03" sheetId="6" r:id="rId6"/>
    <sheet name="Elemento 04" sheetId="7" r:id="rId7"/>
    <sheet name="Elemento 05" sheetId="8" r:id="rId8"/>
    <sheet name="Elemento 06" sheetId="9" r:id="rId9"/>
    <sheet name="Elemento 07" sheetId="10" r:id="rId10"/>
    <sheet name="Elemento 08" sheetId="11" r:id="rId11"/>
    <sheet name="Elemento 09" sheetId="12" r:id="rId12"/>
    <sheet name="Elemento 10" sheetId="13" r:id="rId13"/>
    <sheet name="Elemento 11" sheetId="14" r:id="rId14"/>
    <sheet name="Elemento 12" sheetId="15" r:id="rId15"/>
    <sheet name="Elemento 13" sheetId="16" r:id="rId16"/>
  </sheets>
  <definedNames>
    <definedName name="_xlnm._FilterDatabase" localSheetId="3" hidden="1">'Elemento 01'!$A$3:$F$3</definedName>
    <definedName name="_xlnm._FilterDatabase" localSheetId="4" hidden="1">'Elemento 02'!$A$3:$F$50</definedName>
    <definedName name="_xlnm._FilterDatabase" localSheetId="5" hidden="1">'Elemento 03'!$A$3:$F$3</definedName>
    <definedName name="_xlnm._FilterDatabase" localSheetId="6" hidden="1">'Elemento 04'!$A$3:$F$3</definedName>
    <definedName name="_xlnm._FilterDatabase" localSheetId="7" hidden="1">'Elemento 05'!$A$3:$F$3</definedName>
    <definedName name="_xlnm._FilterDatabase" localSheetId="8" hidden="1">'Elemento 06'!$A$3:$F$3</definedName>
    <definedName name="_xlnm._FilterDatabase" localSheetId="9" hidden="1">'Elemento 07'!$A$3:$F$3</definedName>
    <definedName name="_xlnm._FilterDatabase" localSheetId="10" hidden="1">'Elemento 08'!$A$3:$F$3</definedName>
    <definedName name="_xlnm._FilterDatabase" localSheetId="11" hidden="1">'Elemento 09'!$A$3:$F$3</definedName>
    <definedName name="_xlnm._FilterDatabase" localSheetId="12" hidden="1">'Elemento 10'!$A$3:$F$3</definedName>
    <definedName name="_xlnm._FilterDatabase" localSheetId="13" hidden="1">'Elemento 11'!$A$3:$F$3</definedName>
    <definedName name="_xlnm._FilterDatabase" localSheetId="14" hidden="1">'Elemento 12'!$A$3:$F$3</definedName>
    <definedName name="_xlnm._FilterDatabase" localSheetId="15" hidden="1">'Elemento 13'!$A$3:$F$3</definedName>
    <definedName name="_xlnm.Print_Area" localSheetId="2">Critério!$A$1:$R$48</definedName>
    <definedName name="_xlnm.Print_Area" localSheetId="1">Sumário!$A$1:$M$51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6" l="1"/>
  <c r="D7" i="4" l="1"/>
  <c r="D17" i="14"/>
  <c r="D32" i="5"/>
  <c r="D23" i="7"/>
  <c r="D47" i="7"/>
  <c r="D10" i="12"/>
  <c r="D16" i="7"/>
  <c r="D19" i="12"/>
  <c r="D10" i="13"/>
  <c r="D4" i="4"/>
  <c r="D13" i="16"/>
  <c r="D8" i="13"/>
  <c r="D25" i="12"/>
  <c r="D4" i="12"/>
  <c r="D9" i="16"/>
  <c r="D4" i="9"/>
  <c r="D3" i="9" s="1"/>
  <c r="D4" i="6"/>
  <c r="D40" i="7"/>
  <c r="D45" i="7"/>
  <c r="D16" i="16"/>
  <c r="D4" i="16"/>
  <c r="D13" i="15"/>
  <c r="D4" i="15"/>
  <c r="D4" i="14"/>
  <c r="D4" i="13"/>
  <c r="D4" i="11"/>
  <c r="D3" i="11" s="1"/>
  <c r="D4" i="10"/>
  <c r="D3" i="10" s="1"/>
  <c r="D23" i="8"/>
  <c r="D4" i="8"/>
  <c r="D4" i="7"/>
  <c r="D11" i="4"/>
  <c r="D13" i="14"/>
  <c r="D31" i="12"/>
  <c r="D28" i="12"/>
  <c r="D16" i="6"/>
  <c r="D4" i="5"/>
  <c r="D20" i="5"/>
  <c r="D7" i="5"/>
  <c r="D37" i="5"/>
  <c r="D43" i="5"/>
  <c r="D13" i="8"/>
  <c r="D32" i="7"/>
  <c r="D28" i="7"/>
  <c r="D18" i="7"/>
  <c r="D12" i="7"/>
  <c r="D3" i="16" l="1"/>
  <c r="D3" i="15"/>
  <c r="D3" i="14"/>
  <c r="D3" i="13"/>
  <c r="D3" i="12"/>
  <c r="D3" i="6"/>
  <c r="D3" i="4"/>
  <c r="D3" i="8" l="1"/>
  <c r="D3" i="7"/>
  <c r="D3" i="5"/>
</calcChain>
</file>

<file path=xl/sharedStrings.xml><?xml version="1.0" encoding="utf-8"?>
<sst xmlns="http://schemas.openxmlformats.org/spreadsheetml/2006/main" count="1134" uniqueCount="801">
  <si>
    <t>PROGRAMA DE EXCELÊNCIA OPERACIONAL NO TRANSPORTE AÉREO E MARÍTIMO</t>
  </si>
  <si>
    <t>LISTA DE VERIFICAÇÃO PEOTRAM - CICLO 2024</t>
  </si>
  <si>
    <t>Versão 01</t>
  </si>
  <si>
    <t>Empresa (base/data):</t>
  </si>
  <si>
    <t>Data:</t>
  </si>
  <si>
    <t>Embarcação  (Indicação Petrobras):</t>
  </si>
  <si>
    <t>Escopo:</t>
  </si>
  <si>
    <t>Resumo das operações:</t>
  </si>
  <si>
    <t>Observações:</t>
  </si>
  <si>
    <t>Auditores:</t>
  </si>
  <si>
    <t>Auditados:</t>
  </si>
  <si>
    <r>
      <rPr>
        <b/>
        <sz val="10"/>
        <rFont val="Arial"/>
        <family val="2"/>
      </rPr>
      <t>SUMÁRIO EXECUTIVO:</t>
    </r>
    <r>
      <rPr>
        <sz val="10"/>
        <rFont val="Arial"/>
        <family val="2"/>
      </rPr>
      <t xml:space="preserve">
</t>
    </r>
    <r>
      <rPr>
        <b/>
        <sz val="10"/>
        <rFont val="Arial"/>
        <family val="2"/>
      </rPr>
      <t>PONTOS FORTES DA EMPRESA:</t>
    </r>
    <r>
      <rPr>
        <sz val="10"/>
        <rFont val="Arial"/>
        <family val="2"/>
      </rPr>
      <t xml:space="preserve">
Informar quais foram os pontos fortes verificados na auditoria (tanto na base quanto na embarcação), e que contribuíram para um encaminhamento apropriado da auditoria ou que se apresentou como um destaque da empresa.
</t>
    </r>
    <r>
      <rPr>
        <b/>
        <sz val="10"/>
        <rFont val="Arial"/>
        <family val="2"/>
      </rPr>
      <t xml:space="preserve">
RESUMO DA AUDITORIA:</t>
    </r>
    <r>
      <rPr>
        <sz val="10"/>
        <rFont val="Arial"/>
        <family val="2"/>
      </rPr>
      <t xml:space="preserve">
Informar como está a empresa nos elementos que foram auditados e dar um diagnóstico com um panorama geral de como pode se avaliar a empresa dentro deste programa de excelência (fraquezas, ameaças, oportunidades de melhoria, estrutura geral da empresa, cultura de segurança desenvolvida, e outros que acharem interessante aqui destacar).
</t>
    </r>
  </si>
  <si>
    <t>Critério de aplicação da nota de desempenho:</t>
  </si>
  <si>
    <t>Percentual para cálculo</t>
  </si>
  <si>
    <t xml:space="preserve">N/A </t>
  </si>
  <si>
    <t>Não Aplicável; Não avaliado;</t>
  </si>
  <si>
    <t>Não Evidenciado ou Não Implantado;</t>
  </si>
  <si>
    <t>Evidenciado implementação com Falhas Sistemáticas ou Falhas Críticas ou Em implementação;</t>
  </si>
  <si>
    <t>Evidenciado implementação com Falhas Pontuais;</t>
  </si>
  <si>
    <t>Evidenciado implementação sem Falhas.</t>
  </si>
  <si>
    <t>Evidenciadas ações e/ou boas práticas que vão além do requerido</t>
  </si>
  <si>
    <t>Classificação de criticidade das não conformidades (CNC) e prazo para implementação das ações corretivas:</t>
  </si>
  <si>
    <t>Não Aplicável;</t>
  </si>
  <si>
    <t>A</t>
  </si>
  <si>
    <r>
      <t xml:space="preserve">Crítica - Não conformidade crítica  - Tomada de ação imediata para a redução do risco. 
</t>
    </r>
    <r>
      <rPr>
        <b/>
        <sz val="11"/>
        <color rgb="FFFF0000"/>
        <rFont val="Arial"/>
        <family val="2"/>
      </rPr>
      <t>Em caso de verificação de NC CRÍTICA por parte dos auditores, esta deverá ser informada imediatamente à Coordenação do PEOTRAM que avaliará qual encaminhamento a ser dado.
Após a informação da NC confirmada  (já na auditoria de base ou na auditoria da embarcação), deverá ser dado o tratamento das causas básicas da não conformidade no sistema BROA, com ações não podem ultrapassar 10 (dez) dias corridos da informação da NC, salvo justificativa e aprovação da Petrobras.
OBS.: a eficácia das ações serão avaliadas no fechamento da pendência no sistema BROA e também no próximo ciclo de auditoria.</t>
    </r>
  </si>
  <si>
    <t>B</t>
  </si>
  <si>
    <r>
      <t xml:space="preserve">Grave - Não conformidade grave  - Tomada de ação imediata para a redução do risco.
</t>
    </r>
    <r>
      <rPr>
        <b/>
        <sz val="11"/>
        <color rgb="FFFF0000"/>
        <rFont val="Arial"/>
        <family val="2"/>
      </rPr>
      <t>Em caso de verificação de NC GRAVE por parte dos auditores, esta deverá ser informada imediatamente à Coordenação do PEOTRAM que avaliará qual encaminhamento a ser dado.
Após a informação da NC confirmada   (já na auditoria de base ou na auditoria da embarcação), deverá ser dado o tratamento das causas básicas da não conformidade no sistema BROA, com ações que não podem ultrapassar 15 (quinze) dias corridos da informação da NC, salvo justificativa e aprovação da Petrobras.
OBS.: a eficácia das ações serão avaliadas no fechamento da pendência no sitema BROA e também no próximo ciclo de auditoria.</t>
    </r>
  </si>
  <si>
    <t>C</t>
  </si>
  <si>
    <r>
      <t xml:space="preserve">Moderado - Não conformidade moderada
</t>
    </r>
    <r>
      <rPr>
        <b/>
        <sz val="11"/>
        <color rgb="FFFF0000"/>
        <rFont val="Arial"/>
        <family val="2"/>
      </rPr>
      <t>Após a informação das não conformidades, (informação na resposta da contestação da empresa), deverá ser dado o tratamento das causas básicas da não conformidade, e as ações de tratamento não deverão ultrapassa 30 (trinta) dias após a oficialização das NC,  salvo justificativa e aprovação da Petrobras. 
OBS.: a eficácia das ações serão avaliadas no fechamento da pendência no sistema BROA e também no próximo ciclo de auditoria</t>
    </r>
  </si>
  <si>
    <t>D</t>
  </si>
  <si>
    <r>
      <t xml:space="preserve">Leve - Não conformidade leve
</t>
    </r>
    <r>
      <rPr>
        <b/>
        <sz val="11"/>
        <color rgb="FFFF0000"/>
        <rFont val="Arial"/>
        <family val="2"/>
      </rPr>
      <t>Após a informação das não conformidades, (informação na resposta da contestação da empresa), deverá ser dado o tratamento das causas básicas da não conformidade, e as ações de tratamento não deverão ultrapassa 60 (sessenta) dias após a oficialização das NC,  salvo justificativa e aprovação da Petrobras. 
OBS.: a eficácia das ações serão avaliadas no fechamento da pendência no sistema BROA e também no próximo ciclo de auditoria</t>
    </r>
  </si>
  <si>
    <t>✓</t>
  </si>
  <si>
    <t>Conforme</t>
  </si>
  <si>
    <t>✓✓</t>
  </si>
  <si>
    <t>Item de Excelência</t>
  </si>
  <si>
    <t>Conforme classificação representada acima, as  não‐conformidades  porventura  observadas  deverão  ser  classificadas  em críticas, graves, moderadas e leves, sendo:</t>
  </si>
  <si>
    <r>
      <rPr>
        <b/>
        <sz val="11"/>
        <rFont val="Arial"/>
        <family val="2"/>
      </rPr>
      <t xml:space="preserve">Não conformidades críticas: </t>
    </r>
    <r>
      <rPr>
        <sz val="11"/>
        <rFont val="Arial"/>
        <family val="2"/>
      </rPr>
      <t xml:space="preserve">
Não Conformidade que possa gerar risco iminente às pessoas, ao meio ambiente, à instalação ou às operações.
* A Petrobras deverá ser avisada imediatamente pela equipe auditora.
</t>
    </r>
    <r>
      <rPr>
        <b/>
        <sz val="11"/>
        <color rgb="FFFF0000"/>
        <rFont val="Arial"/>
        <family val="2"/>
      </rPr>
      <t>RISCO IMINENTE: QUE AMEAÇA SE CONCRETIZAR, QUE ESTÀ A PONTO DE ACONTECER, PRÒXIMO, IMEDIATO (ÚLTIMA BARREIRA DE CONTROLE)</t>
    </r>
  </si>
  <si>
    <r>
      <rPr>
        <b/>
        <sz val="11"/>
        <rFont val="Arial"/>
        <family val="2"/>
      </rPr>
      <t>Não conformidades graves:</t>
    </r>
    <r>
      <rPr>
        <sz val="11"/>
        <rFont val="Arial"/>
        <family val="2"/>
      </rPr>
      <t xml:space="preserve">
a) Falta de um requisito do Sistema de Gestão da Segurança Operacional, Segurnaça Ocupacional e/ou Meio Ambiente;
b) Falha relevante no atendimento a um requisito do Sistema de Gestão da Segurança Operacional, Segurnaça Ocupacional e/ou Meio Ambiente ou requisito de SMS;
c) Não conformidades similares às encontradas em auditorias anteriores na mesma instalação;
d) Desvio sistêmico, caracterizado por um conjunto de desvios ou por desvios similares, que ocorrem de forma repetitiva e frequente no atendimento a determinado requisito relevante.</t>
    </r>
  </si>
  <si>
    <r>
      <t xml:space="preserve">Não conformidades moderadas: 
</t>
    </r>
    <r>
      <rPr>
        <sz val="11"/>
        <rFont val="Arial"/>
        <family val="2"/>
      </rPr>
      <t>a)  Atendimento parcial ou insuficiente a um requisito do Sistema de Gestão da Segurança Operacional, ou requisito de SMS;
b)  Uma quantidade significativa de falhas leves em atender a um determinado requisito do Sistema de Gestão de Segurança Operacional.</t>
    </r>
  </si>
  <si>
    <r>
      <t xml:space="preserve">Não conformidades leves: 
</t>
    </r>
    <r>
      <rPr>
        <sz val="11"/>
        <rFont val="Arial"/>
        <family val="2"/>
      </rPr>
      <t>Serão todas aquelas que possam ser consideradas como desvio ou falhas isoladas, no atendimento a um requisito de SMS e de Segurança Operacional, desde que não se enquadre nas definições anteriores;
OBS.: para efeito de pontuação no PEOTRAM, será levado em consideração para este ciclo de 2023 a análise das não conformidades tratadas no ciclo anterior, bem como aquelas levantadas no ciclo atual (composição dos percentuais de atendimento).</t>
    </r>
  </si>
  <si>
    <r>
      <t xml:space="preserve">TRATAMENTO DE NC CRÍTICAS OU GRAVES:
</t>
    </r>
    <r>
      <rPr>
        <sz val="11"/>
        <color indexed="10"/>
        <rFont val="Arial"/>
        <family val="2"/>
      </rPr>
      <t>As NC CRÍTICAS ou GRAVES deverão ser tratadas dentro do ciclo em andamento, de acordo com os prazos estabelecidos no critério.
As questões de Conformidade Legal, principalmente itens voltados para as NRs, caso sejam motivo de NC, serão considerados como NC GRAVE.</t>
    </r>
  </si>
  <si>
    <r>
      <t xml:space="preserve">Tratamento de ações no BROA (ou qualquer outro sistema que venha a substituí-lo):
</t>
    </r>
    <r>
      <rPr>
        <sz val="11"/>
        <color rgb="FFFF0000"/>
        <rFont val="Arial"/>
        <family val="2"/>
      </rPr>
      <t xml:space="preserve">
a) As pendências de auditoria serão inseridas no sistema pela equipe PETROBRAS, onde o prazo para tratamento das pendências terá início a partir da data do e-mail de envio do Relatório Final com a resposta das contestações pela empresa auditora, para a empresa auditada;
b) O encerramento a ser solicitado pela empresa auditada no sistema deverá ser solicitado dentro deste status de “encerramento solicitado” para que chegue ao avaliador de forma adequada;
c) O encerramento das pendências se dará no último dia estabelecido e até às 17h do dia, para que possamos corrigir qualquer inconsistência no sistema;
d) As datas de atendimento às pendências serão consideradas sempre em dia útil da semana.  Exemplo: se a data cair em sábado, domingo ou feriado, a equipe PETROBRAS já considerará a data útil imediatamente antes destes dias da semana.  As datas de atendimento a planos da ação dos RTAs serão informados pelos pontos focais das unidades. Qualquer alteração de data a ser autorizado pelos responsáveis da PETROBRAS, será acatado mediante informação oficial, e com evidência (e-mail da PETROBRAS), a ser informada pela empresa auditada para a Coordenação do PEOTRAM;
e) Caso ocorram inconsistências no sistema, a empresa auditada deverá informar imediatamente à equipe PETROBRAS para a correção em tempo hábil. Caso contrário, consideraremos como ação fechada “fora do prazo”.
f) Para o correto atendimento ao tratamento das NC apontadas, será considerado o seguinte para que a pendência seja dada como atendida:
  - apresentação de uma análise da causa básica que levou à não conformidade;
  - tratamento da não conformidade a partir da causa básica levantada para evitar reincidências futuras.</t>
    </r>
  </si>
  <si>
    <t>Classificação dos elementos críticos de segurança operacional e/ou ocupacional:</t>
  </si>
  <si>
    <t xml:space="preserve">1) Equipamento crítico de segurança operacional e/ou ocupacional é qualquer equipamento ou elemento estrutural da Instalação que poderia, em caso de falha, causar ou contribuir, significativamente, para um quase acidente ou para um acidente operacional / ocupacional; </t>
  </si>
  <si>
    <t xml:space="preserve">2) Sistema Crítico de Segurança Operacional é qualquer sistema de controle de engenharia que tenha sido projetado para manter a instalação dentro dos limites operacionais de segurança, parar total ou parcialmente a instalação ou um processo, no caso de uma falha na segurança operacional ou reduzir a exposição humana às consequências de eventuais falhas; </t>
  </si>
  <si>
    <t xml:space="preserve">3) Procedimento crítico de segurança operacional e/ou ocupacional é um procedimento ou critério utilizado para controle de riscos operacionais/ocupacionais.
</t>
  </si>
  <si>
    <t xml:space="preserve">Participação das inspeções do GSEM, BAD/IDF e outras auditorias na avaliação final dos critérios e na implementação dos requisitos de conformidade legal:
</t>
  </si>
  <si>
    <t>1) As avaliações do GSEM, auditorias de BAD/IDF ou outras avalialiações do ciclo (anexos de SMS, de normas regulamentadoras e outras), servirão, também, como embasamento para as auditorias do PEOTRAM e poderão ser utilizadas nas comparações dos itens auditados, podendo despontuar no caso de insconsistência de informações.</t>
  </si>
  <si>
    <t>ELEMENTO 01 - LIDERANÇA, GERENCIAMENTO E RESPONSABILIDADE</t>
  </si>
  <si>
    <t>Requisito</t>
  </si>
  <si>
    <t>Descrição do Requisito</t>
  </si>
  <si>
    <t>Evidências  para atendimento do item</t>
  </si>
  <si>
    <t>CNC</t>
  </si>
  <si>
    <t>Comentários do Auditor</t>
  </si>
  <si>
    <t>Responsabilidade e Autoridade</t>
  </si>
  <si>
    <t>1.1.1</t>
  </si>
  <si>
    <t>A alta administração da empresa demonstra compromisso claro em implementar e manter a gestão de segurança, meio ambiente e saúde?</t>
  </si>
  <si>
    <r>
      <t>Entrevistas com alta administração;
a) As atribuições e responsabilidades relacionadas com a gestão de SMS e segurança operacional estão definidas e implementados a bordo e na base da empresa, levando em conta as responsabilidades das lideranças de bordo (CMT, CFM,etc) e de base (Gerentes)? 
b) As atribuições e responsabilidades relacionadas com a gestão de SMS, excelência operacional e segurança operacional são do conhecimento e é praticada pelos dos tripulantes e pessoal de terra que suportam às operações? 
Os diretores e gerentes da empresa realizam visitas periódicas nas embarcações, executando ações vinculadas à gestão de segurança?</t>
    </r>
    <r>
      <rPr>
        <b/>
        <sz val="14"/>
        <color indexed="10"/>
        <rFont val="Arial"/>
        <family val="2"/>
      </rPr>
      <t xml:space="preserve"> </t>
    </r>
    <r>
      <rPr>
        <sz val="8"/>
        <rFont val="Arial"/>
        <family val="2"/>
      </rPr>
      <t xml:space="preserve">
As lideranças de base e de bordo realizam auditorias comportamentais periódicas, com efetivo registros de desvios (reação das pessoas, posição das pessoas, EPI, ferramentas/equipamentos, procedimentos documentados, ordem/limpeza/arrumação) e tratamento imediato dos desvios?
A empresa possui sistemática para que as lideranças e gestores realizem auditorias comportamentais periódicas e de integridade.
Os gestores de manutenção, operação e SMS realizam inspeções e auditorias periódicas a bordo, visando verificar a conformidade, integridade e perfeito funcionamento dos equipamentos e dispositivos de segurança da embarcação, com efetivo registro e tratamento de desvios?</t>
    </r>
    <r>
      <rPr>
        <b/>
        <sz val="14"/>
        <color indexed="10"/>
        <rFont val="Arial"/>
        <family val="2"/>
      </rPr>
      <t xml:space="preserve"> </t>
    </r>
  </si>
  <si>
    <t>1.1.2</t>
  </si>
  <si>
    <t>A empresa demonstra ter setores de Operação, Manutenção/Técnico, RH, SMS adequadamente estruturados, com competência técnica e articulados, para suportar operações marítimas a serviço da Petrobras?</t>
  </si>
  <si>
    <t>Solicitar organograma estruturado da empresa e matriz de responsabilidades para verificação da hierarquia (gerentes de operação, manutenção, SMS/HSE, RH) e autoridades dadas aos gestores. Evidências de que a bordo estes setores se articulam no suporte às operações das embarcações</t>
  </si>
  <si>
    <t>Comprometimento da Liderança</t>
  </si>
  <si>
    <t>1.2.1</t>
  </si>
  <si>
    <t xml:space="preserve">A empresa possui sistemática para estabelecer as diversas especificações previstas em normas como: 
Designação profissional legalmente habilitado, habilitação, capacitação e qualificação. </t>
  </si>
  <si>
    <t xml:space="preserve">ISM Code, IMCA, NR 10, NR 11, NR 12, NR 13, NR 17, NR 20, NR30, NR 33, NR 34, NR 35, entre outras.
Procedimento Documentado
</t>
  </si>
  <si>
    <t xml:space="preserve">1.2.2 
</t>
  </si>
  <si>
    <t xml:space="preserve">a) A empresa designou formalmente os responsáveis legais requeridos conforme legislação, tais como  Profissionais Legalmente Habilitados (PLH), profissionais designados nas NRs, dentre outros?                                                                                                    
b) Todos os serviços que requeiram atuação dos responsáveis legais estão em conformidade?                                                                                                </t>
  </si>
  <si>
    <t>Carta de Designação DPA (ISM Code / IMCA)
Profissionais designados nas NR 10, NR 11, NR 12, NR 13, NR 17, NR 20, NR 33, NR 34, NR 35, entre outras.
Registros que comprovem a atuação ao longo do ano do DPA e pessoas designadas para as NR</t>
  </si>
  <si>
    <t>1.2.3</t>
  </si>
  <si>
    <t>A alta administração da empresa demonstra compromisso com o tema de redução de emissões de gases de efeito estufa e apresenta ações práticas para redução de emissões?</t>
  </si>
  <si>
    <t>Registros que comprovem a atuação da alta liderança neste tema
Ações práticas evidenciadas (ex: modos de operação, ações visando redução de consumo de diesel, gestão de manutenção, indicadores)</t>
  </si>
  <si>
    <t>Indicadores e Itens Críticos</t>
  </si>
  <si>
    <t>1.3.1</t>
  </si>
  <si>
    <t>A alta administração da empresa estabeleceu indicadores e metas de performance em SMS, manutenções, inspeções e excelência operacional, medindo-as e monitorando-as periodicamente, com planos de ação no caso de não atendimento?</t>
  </si>
  <si>
    <t xml:space="preserve"> Indicadores tais como: TAR, TOR, TFCA, TG, Vazamentos, Tempo Perdido (PTP-Saúde), Falhas de DP, Cumprimentos de Plano de Manutenção (ICMP), Albalroamentos (meta zero)
Medições realizadas;
Planos de ação no caso de não atendimento.</t>
  </si>
  <si>
    <t>ELEMENTO 02 - CONFORMIDADE LEGAL</t>
  </si>
  <si>
    <t>Sistemática de Identificação e Atualização de Requisitos Legais e Outros</t>
  </si>
  <si>
    <t>2.1.1</t>
  </si>
  <si>
    <t>a) A empresa possui sistema que identifique e atualize as legislações e normas nacionais e internacionais pertinentes às operações da empresa?                                                                                       b) As legislações, normas e requisitos contratuais estão inseridos em todos os estudos de risco e procedimentos que afetem a segurança das operações?</t>
  </si>
  <si>
    <t>Legislação Federal;
Legislações Estaduais;
Legislações Municipais;
Outros requisitos (Exemplo: Normas NBR, Normas Regulamentadoras e Normas técnicas em geral) apresentados de forma atualizada;
Lista ou Software com os requisitos legais
Verificar quais são os outros requisitos aplicáveis identificados;
Este documento deve apresentar a correlação entre os requisitos e os aspectos ambientais;
Este documento deve apresentar a correlação entre os estudos de riscos para o caso de segurança operacional;
Entrevista nas áreas operacionais.</t>
  </si>
  <si>
    <t>2.1.2</t>
  </si>
  <si>
    <t>A empresa possui grupo interno de inspeção e auditoria, para verificar a conformidade de toda sua frota às legislações marítimas, NRs, ambientais, da ANVISA, da IMCA, IMO, ISM, requisitos da Contratante?</t>
  </si>
  <si>
    <t>Evidenciar cronograma de inspeções/auditorias envolvendo toda a frota, com relatório de inspeção/auditoria consistente, com registros de Não Conformidades e planos de ação de tratamento de NC.
Evidenciar a qualificação do(s) auditor(es) / inspetor(es) envolvidos.</t>
  </si>
  <si>
    <t>Atendimento à NR-34</t>
  </si>
  <si>
    <t>2.2.1</t>
  </si>
  <si>
    <t xml:space="preserve">A empresa possui profissional formalmente designado para o cumprimento da NR-34?    
</t>
  </si>
  <si>
    <t>Evidências dos registros.</t>
  </si>
  <si>
    <t>2.2.2</t>
  </si>
  <si>
    <t>Os profissionais que realizaram atividades no âmbito da NR-34 ao longo do ciclo, estão devidamente capacitados e treinados nos termos estabelecidos no item 34.3 da NR-34?</t>
  </si>
  <si>
    <t>Evidências dos registros (devem ser disponibilizados na auto avaliação todos os registros);
Requisitos mínimos aceitáveis:
a) 34.3.1 - Trabalhador qualificado: Comprovação da conclusão de curso específico para sua atividade em instituição reconhecida pelo sistema oficial de ensino; 
b) 34.3.2 - Profissional Legalmente Habilitado: trabalhador previamente qualificado e com registro no competente conselho de classe; 
c) 34.3.3. - Trabalhador capacitado :trabalhador previamente qualificado e com registro no competente conselho de classe; 
d) Carga mínima indicada na NR-34; e) Capacitação realizada durante horário normal de trabalho (34.3.5).</t>
  </si>
  <si>
    <t>2.2.3</t>
  </si>
  <si>
    <t>As documentações de atendimento à NR-34 estão disponíveis e conformes, como estabelecido no item 34.4 da NR-34?</t>
  </si>
  <si>
    <t>Empresa disponibilizar as Permissões para Trabalho, evidenciando o cumprimento dos itens constantes no 34.4 da NR-34
Entrevistas</t>
  </si>
  <si>
    <t>2.2.4</t>
  </si>
  <si>
    <t>Os trabalhos a quente realizados a bordo no ciclo anual foram realizados em conformidade com o requerido no item 34.5 da NR-34?</t>
  </si>
  <si>
    <t>Relação dos trabalhos a quente realizados no ciclo;
Registros de atendimento integral ao item 34.5</t>
  </si>
  <si>
    <t>2.2.5</t>
  </si>
  <si>
    <t>Os trabalhos em altura realizados a bordo no ciclo anual, foram realizados observando o requerido no item 34.6 da NR-34?</t>
  </si>
  <si>
    <t>2.2.6</t>
  </si>
  <si>
    <t>Os trabalhos de pintura realizados a bordo no ciclo anual, foram realizados observando o requerido no item 34.9 da NR-34?</t>
  </si>
  <si>
    <t>2.2.7</t>
  </si>
  <si>
    <t>Os trabalhos de movimentação de cargas a bordo no ciclo anual, foram realizados observando o requerido no item 34.10 da NR-34?</t>
  </si>
  <si>
    <t>Relação dos equipamentos de movimentação de cargas na embarcação no ciclo anual;
Registros de atendimento integral ao item 34.10</t>
  </si>
  <si>
    <t>2.2.8</t>
  </si>
  <si>
    <t>Os equipamentos de movimentação de cargas possuem prontuários cumprindo integralmente o requerido no item 34.10.3 da NR-34?</t>
  </si>
  <si>
    <t>Relação de todos os equipamentos de movimentação de cargas da embarcação e seus respectivos prontuários.</t>
  </si>
  <si>
    <t>2.2.9</t>
  </si>
  <si>
    <t>Os equipamentos e acessórios de movimentação de cargas e seus acessórios estão certificados por profissionais legalmente habilitados, registrados em relatório de inspeção e com periodicidade adequada, conforme item 34.10.6 da NR-34?</t>
  </si>
  <si>
    <t>Relação dos certificados de todos os equipamentos de movimentação de cargas.</t>
  </si>
  <si>
    <t>2.2.10</t>
  </si>
  <si>
    <t>Os equipamentos portáteis a bordo no ciclo anual, foram realizados observando o requerido no item 34.12 da NR-34?</t>
  </si>
  <si>
    <t>Relação dos equipamentos portáteis na embarcação no ciclo anual;                                                                                                             Registros de atendimento integral ao item 34.12</t>
  </si>
  <si>
    <t>2.2.11</t>
  </si>
  <si>
    <t>As instalações elétricas provisórias a bordo no ciclo anual, foram realizados observando o requerido no item 34.13 da NR-34?</t>
  </si>
  <si>
    <t>Relação das instalações elétricas provisórias na embarcação no ciclo anual;                                                                                                             Registros de atendimento integral ao item 34.13</t>
  </si>
  <si>
    <t>2.2.12</t>
  </si>
  <si>
    <t>Os testes de estanqueidade realizados a bordo no ciclo anual, foram realizados observando o requerido no item 34.14 da NR-34?</t>
  </si>
  <si>
    <t>Relação dos testes de estanqueidade na embarcação no ciclo anual;                                                                                                             Registros de atendimento integral ao item 34.14</t>
  </si>
  <si>
    <t>Atendimento à NR-12</t>
  </si>
  <si>
    <t>2.3.1</t>
  </si>
  <si>
    <t xml:space="preserve">a) A empresa possui Profissional Legalmente Habilitado para fins de cumprimento da NR-12?                                                            
b) O profissional é atuante e realiza todas as ações sob sua responsabilidade conforme disposto na NR-12?  </t>
  </si>
  <si>
    <t xml:space="preserve">Evidências de designação, de atuação em registros, entrevistas;
Evidenciar a formação profissional do PLH como Engenheiro Mecânico ou Engenheiro Naval e com a ART recolhida (CREA ativo). </t>
  </si>
  <si>
    <t>2.3.2</t>
  </si>
  <si>
    <t xml:space="preserve">O arranjo físico da embarcação está conforme ao estabelecido no item 12.2 da NR-12? </t>
  </si>
  <si>
    <t>Relatórios, fotos, Visita a bordo e registros, de aplicação de toda a NR-12</t>
  </si>
  <si>
    <t>2.3.3</t>
  </si>
  <si>
    <t xml:space="preserve">As instalações e dispositivos elétricos nas embarcações estão conformes ao estabelecido no item 12.3 da NR-12?
</t>
  </si>
  <si>
    <t xml:space="preserve">Relatórios, fotos, Visita a bordo e registros, de aplicação de toda a NR-12.
</t>
  </si>
  <si>
    <t>2.3.4</t>
  </si>
  <si>
    <r>
      <t>Os dispositivos de partida, acionamento e parada nas embarcações estão conformes ao estabelecido no item 12.4 da NR-12?</t>
    </r>
    <r>
      <rPr>
        <b/>
        <sz val="8"/>
        <rFont val="Arial"/>
        <family val="2"/>
      </rPr>
      <t xml:space="preserve"> </t>
    </r>
  </si>
  <si>
    <t>2.3.5</t>
  </si>
  <si>
    <r>
      <t>Os sistemas de segurança nas embarcações estão conformes ao estabelecido no item 12.5 da NR-12?</t>
    </r>
    <r>
      <rPr>
        <b/>
        <sz val="8"/>
        <rFont val="Arial"/>
        <family val="2"/>
      </rPr>
      <t xml:space="preserve"> </t>
    </r>
  </si>
  <si>
    <t>2.3.6</t>
  </si>
  <si>
    <t xml:space="preserve">Os dispositivos de parada de emergências nas embarcações estão conformes ao estabelecido no item 12.6 da NR-12? </t>
  </si>
  <si>
    <t>2.3.7</t>
  </si>
  <si>
    <t>Os componentes pressurizados das embarcações estão conformes ao estabelecido no item 12.7 da NR-12?</t>
  </si>
  <si>
    <t>2.3.8</t>
  </si>
  <si>
    <t>Os riscos adicionais estão mapeados e em conformidade ao estabelecido no item 12.10 da NR-12?</t>
  </si>
  <si>
    <t>2.3.9</t>
  </si>
  <si>
    <t>As manutenções, inspeções, preparação, ajustes, reparos, limpezas, sinalizações e manuais estão conformes ao estabelecido nos itens 12.11, 12.12 e 12.13 da NR-12?</t>
  </si>
  <si>
    <t>2.3.10</t>
  </si>
  <si>
    <t>Para a realização de trabalhos com máquinas e equipamentos, estão estabelecidos procedimentos documentados de trabalho e segurança, conforme estabelecido no item 12.14 da NR-12?</t>
  </si>
  <si>
    <t>2.3.11</t>
  </si>
  <si>
    <t>Os profissionais da empresa que realizam operação, manutenção, inspeção e demais intervenções em máquinas e equipamentos nas embarcações, estão capacitados, habilitados,qualificados e autorizados conforme estabelecido no item 12.16 da NR-12?</t>
  </si>
  <si>
    <t>Relação dos profissionais da empresa; registros de treinamentos (confrontando com NR-12) e entrevistas</t>
  </si>
  <si>
    <t>Atendimento à NR-33</t>
  </si>
  <si>
    <t>2.4.1</t>
  </si>
  <si>
    <t xml:space="preserve">a) A empresa possui Responsável Técnico para fins de cumprimento da NR-33?                                                            
b) O profissional é atuante e realiza todas as ações sob sua responsabilidade conforme disposto na NR-33? </t>
  </si>
  <si>
    <t>Evidências de designação, de atuação em registros, entrevistas</t>
  </si>
  <si>
    <t>2.4.2</t>
  </si>
  <si>
    <t>As obrigações para a empresa referente a trabalhos em espaço confinados estão conformes o disposto no item 33.3 da NR-33?</t>
  </si>
  <si>
    <t>Relatórios, fotos, Visita a bordo e registros, de aplicação de toda a NR-33</t>
  </si>
  <si>
    <t>2.4.3</t>
  </si>
  <si>
    <t>O trabalho em espaço confinado é planejado, programado, implementado e avaliado, incluindo medidas técnicas de prevenção, medidas administrativas e de capacitação estão realizados conforme o estabelecido no item 33.4 da NR-33?</t>
  </si>
  <si>
    <t>Relação de trabalhos em espaço confinados realizados no ciclo anual; relatórios de trabalho, visita a bordo. Somente considerar item implementado, caso para a amostra avaliada esteja 100% conforme aos itens requeridos pela NR</t>
  </si>
  <si>
    <t>2.4.4</t>
  </si>
  <si>
    <t>Os profissionais que participaram dos trabalhos em espaço confinados (autorizados, vigias, supervisores de entrada) estão devidamente capacitados conforme requerido no item 33.6 da NR-33?</t>
  </si>
  <si>
    <t>Relação dos profissionais, certificados de curso, ementa e carga horário de curso, listas de presença e entrevista</t>
  </si>
  <si>
    <t>Atendimento à NR-35</t>
  </si>
  <si>
    <t>2.5.1</t>
  </si>
  <si>
    <t>Para os trabalhos a bordo, realizados acima de 2 metros do nível inferior, onde haja risco de queda, a empresa implementou todos os requisitos estabelecidos no item 35.3 da NR-35?</t>
  </si>
  <si>
    <t>Relatórios, fotos, Visita a bordo e registros, de aplicação de toda a NR-35</t>
  </si>
  <si>
    <t>2.5.2</t>
  </si>
  <si>
    <t>Os profissionais que realizam trabalhos em altura a bordo e equipes de emergência, estão capacitados conforme o requerido nos itens 35.4 e 35.7 da NR-35?</t>
  </si>
  <si>
    <t>Relação dos profissionais, certificados de curso, ementa e carga horário de curso, listas de presença e entrevista, confrontando com o requerido no item 35.4</t>
  </si>
  <si>
    <t>2.5.3</t>
  </si>
  <si>
    <t>Os trabalhos em altura foram planejados, organizados e executados conforme disposto no item 35.5 da NR-35?</t>
  </si>
  <si>
    <t>Relação dos trabalhos em altura, Relatórios, fotos, Visita a bordo e registros, de aplicação de toda a NR-35</t>
  </si>
  <si>
    <t>2.5.4</t>
  </si>
  <si>
    <t>Nos locais em que não for possível evitar o trabalho em altura, estão instalados e conformes os Sistemas de Proteção Contra Quedas, como requerido no item 35.6 da NR-35?</t>
  </si>
  <si>
    <t>2.5.5</t>
  </si>
  <si>
    <t>Estão disponíveis equipes de resposta em caso de emergências, conforme disposto no item 35.7 da NR-35?</t>
  </si>
  <si>
    <t>Relação da equipe, planos, relatórios, visita a bordo</t>
  </si>
  <si>
    <t>Normas de Segurança das Operações Marítimas</t>
  </si>
  <si>
    <t>2.6.1</t>
  </si>
  <si>
    <t>A empresa possui sistemática para garantir o cumprimento, monitoramento e evidencia implementação do requerido no STCW 95 (treinamento de marítimos)?</t>
  </si>
  <si>
    <t>procedimento documentado, registros, visita a bordo</t>
  </si>
  <si>
    <t>2.6.2</t>
  </si>
  <si>
    <t>A empresa possui sistemática para garantir o cumprimento, monitoramento e evidencia implementação do requerido no ISM (International Safety Management)?</t>
  </si>
  <si>
    <t>2.6.3</t>
  </si>
  <si>
    <t>A empresa possui sistemática para garantir o cumprimento, monitoramento e evidencia implementação do requerido no SOLAS (Convenção Internacional para a Salvaguarda da Vida Humana no Mar)?</t>
  </si>
  <si>
    <t>2.6.4</t>
  </si>
  <si>
    <t>A empresa possui procedimentos documentados, capacitações, monitora e evidencia implementação do requerido no RIPEAM 72 - Regulamento Internacional para Evitar Abalroamentos no Mar?</t>
  </si>
  <si>
    <t>2.6.5</t>
  </si>
  <si>
    <t>A empresa possui sistemática para garantir o cumprimento, monitoramento e evidencia implementação do requerido na MARPOL - Convenção Internacional para a Prevenção da Poluição Causada por Navios?</t>
  </si>
  <si>
    <t>2.6.6</t>
  </si>
  <si>
    <t>A empresa que possui embarcações com sistemas de posicionamento dinâmico (DP), evidencia cumprimento integral do requerido no Documento IMCA 103 - Guidelines for The Design and Operation of Dynamically Positioned Vessels, conforme sua classe?</t>
  </si>
  <si>
    <t xml:space="preserve">procedimento documentado, registros, visita a bordo
OBS.: Quando este item for classificado como NA, o auditor deverá fazer uma ressalva informando que a empresa não está habilitada para ofertar embarcações com DP. </t>
  </si>
  <si>
    <t>2.6.7</t>
  </si>
  <si>
    <t>A empresa que possui embarcações com sistemas de posicionamento dinâmico (DP), evidencia cumprimento integral do requerido no Documento IMCA 117 - Training and Experience of Key DP Personnel, conforme sua classe?</t>
  </si>
  <si>
    <t xml:space="preserve">procedimento documentado, registros, visita a bordo; registros de qualificação e treinamento de todo o pessoal envolvido
OBS.: Quando este item for classificado como NA, o auditor deverá fazer uma ressalva informando que a empresa não está habilitada para ofertar embarcações com DP. </t>
  </si>
  <si>
    <t>ELEMENTO 03 - GESTÃO DE RISCOS</t>
  </si>
  <si>
    <t>Identificação e Avaliação de Riscos</t>
  </si>
  <si>
    <t>3.1.1</t>
  </si>
  <si>
    <t>A empresa possui processo estruturado e implementado de identificação dos perigos e gestão de riscos ocupacionais e operacionais?                      
OBS: Entende-se como estruturado a existência de procedimentos de identificação de perigos e riscos; estudos de risco com equipes multidisciplinares; aprovação dos estudos por liderança; acompanhamento/implementação das recomendações; recomendações dos estudos de risco estarem contemplada nos procedimentos operacionais</t>
  </si>
  <si>
    <t xml:space="preserve">Procedimento documentado;
Relatório de Análises de Riscos;
Relatório de Análise Preliminar de Riscos;
Relatório de Análise Preliminar de Perigos;
Contemplam entre outros: Intoxicação, Doenças contagiosas, Trauma, desastres naturais, ação de terceiros (exemplos: terrorismo e vandalismo).
</t>
  </si>
  <si>
    <t>3.1.2</t>
  </si>
  <si>
    <t>Os participantes de estudos de riscos possuem treinamento em técnicas de avaliação e gestão de riscos?</t>
  </si>
  <si>
    <t>Registros de treinamento e entrevistas</t>
  </si>
  <si>
    <t>3.1.3</t>
  </si>
  <si>
    <t>Para estudos de riscos para segurança operacional (ou segurança técnica da embarcação), são utilizadas técnicas estruturadas DE CLASSIFICAÇÃO DE RISCO (SEVERIDADE, FREQUÊNCIA - MODERADO, TOLERÁVEL , NÃO TOLERÁVEL) como as preconizadas no item 4  para embarcações DP o ASOG, conforme norma IMCA?</t>
  </si>
  <si>
    <r>
      <t>Procedimentos documentados, específicos e mais elaborados para:
HAZOP;
FMEA / ASOG (Planilha de tomada de decisões);
HAZID;</t>
    </r>
    <r>
      <rPr>
        <sz val="8"/>
        <color indexed="10"/>
        <rFont val="Arial"/>
        <family val="2"/>
      </rPr>
      <t xml:space="preserve">
</t>
    </r>
    <r>
      <rPr>
        <sz val="8"/>
        <rFont val="Arial"/>
        <family val="2"/>
      </rPr>
      <t>Bow Tie;</t>
    </r>
  </si>
  <si>
    <t>3.1.4</t>
  </si>
  <si>
    <t>Nos estudos de risco de segurança operacional, é aplicada uma Matriz de Tolerabilidade de Riscos, abrangendo categorias severidade x freqüência de eventos que possam provocar danos às pessoas, patrimônio, meio ambiente e imagem, em técnica igual ou similar ao previsto na Norma Petrobras N-2782 ?</t>
  </si>
  <si>
    <t>Verificar se os riscos foram categorizados conforme matriz de tolerabilidade.</t>
  </si>
  <si>
    <t>3.1.5</t>
  </si>
  <si>
    <t>A empresa possui uma sistemática que verifique a qualidade das análises de risco, contemplando, obrigatoriamente,  no mínimo:
a) A condução por um líder com treinamento na técnica a ser utilizada;
b) A participação de equipe multidisciplinar  (Operação, SMS e Manutenção), com composição e dimensionamento adequados à amplitude, profundidade e natureza do estudo;
c) Aprovação por nível hierárquico superior do estudo e suas recomendações;
d) Garantia de rastreabilidade e controle de revisão dos estudos;
e) Garantia da rastreabilidade das ações adotadas relativas às implementações das recomendações;
f) Matriz de Tolerabilidade de Riscos, que correlacione a freqüência dos eventos indesejados e a severidade das conseqüências esperadas.</t>
  </si>
  <si>
    <t xml:space="preserve">Estudo de risco realizado.
</t>
  </si>
  <si>
    <t>3.1.6</t>
  </si>
  <si>
    <t>A liderança de base da contratada, monitora e registra os percentuais de implementação das recomendações de estudos de risco na sua frota, bem como a qualidade das análises de risco?</t>
  </si>
  <si>
    <t>3.1.7</t>
  </si>
  <si>
    <r>
      <rPr>
        <sz val="8"/>
        <color indexed="8"/>
        <rFont val="Arial"/>
        <family val="2"/>
      </rPr>
      <t>a) As análises de riscos contemplam acidentes e incidentes de segurança operacional ocorridos na própria empresa e os acidentes/alertas compartilhados pela PETROBRAS?
b) nos estudos de Análise de Riscos estão de uma forma que considera o histórico dos acidentes, e estão sendo divulgados para toda a tripulação?</t>
    </r>
    <r>
      <rPr>
        <sz val="8"/>
        <color indexed="30"/>
        <rFont val="Arial"/>
        <family val="2"/>
      </rPr>
      <t xml:space="preserve"> </t>
    </r>
  </si>
  <si>
    <t>Verificar se o estudo de riscos leva em consideração a análise histórica de acidentes;
Incêndio;
Explosão;
Vazamento de produtos químicos;
Avaria da embarcação;
Alagamento;
Perda de posicionamento;
Colisão/abalroamento;
Black out;
E outros.</t>
  </si>
  <si>
    <t>3.1.8</t>
  </si>
  <si>
    <t>As análises de riscos a bordo levam em consideração os requisitos dos Guias e dos Manuais de Segurança da Petrobras?</t>
  </si>
  <si>
    <t>Levantamento de aspectos e impactos e perigos e danos;
Relatório de Análises de Riscos;
Relatório de Análise Preliminar de Riscos;
Relatório de Análise Preliminar de Perigos;
Guia de Operações entre Embarcação de Apoio Marítimo e Unidade Marítima.</t>
  </si>
  <si>
    <t>3.1.9</t>
  </si>
  <si>
    <t>A empresa evidencia que os procedimentos das tarefas rotineiras são baseados em avaliações de aspectos, impactos e perigos e riscos?</t>
  </si>
  <si>
    <t>Procedimento documentado e acompanhamento de tarefas realizadas a bordo (confrontar padrão x operação)</t>
  </si>
  <si>
    <t>3.1.10</t>
  </si>
  <si>
    <t>A empresa evidencia que para tarefas novas, não rotineiras ou não planejadas, que também realiza avaliação prévia dos aspectos, impactos, perigos e riscos?</t>
  </si>
  <si>
    <t xml:space="preserve">Procedimento documentado;
Relatório de Análises de Riscos;
Relatório de Análise Preliminar de Riscos;
Relatório de Análise Preliminar de Perigos; </t>
  </si>
  <si>
    <t>3.1.11</t>
  </si>
  <si>
    <t>Os estudos de risco de segurança operacional abrangem, no mínimo os cenários de: abalroamento, colisão, incêndio, naufrágio, perdas de posição, derivas, alagamentos, homem ao mar, emborcamento de botes, danos na estrutura da embarcação, acidentes envolvendo movimentação de cargas, acidentes envolvendo movimentação de combustíveis,
situações de diving less?</t>
  </si>
  <si>
    <t>Estudos de risco cobrindo cada um dos indicados como mínimo;
Estudo de tecnologias que evitem a atividade de mergulho.</t>
  </si>
  <si>
    <t>Gerenciamento de Riscos</t>
  </si>
  <si>
    <t>3.2.1</t>
  </si>
  <si>
    <t>a) A bordo estão implementadas as ações de prevenção e/ou mitigação dos estudos de riscos avaliados?                                    
b) As barreiras (salvaguardas) identificadas na análise de riscos  estão íntegras?</t>
  </si>
  <si>
    <t>Verificação em campo:
- Entrevistas na área operacional;
- Descumprimento de procedimentos;
- Falta de manutenção em equipamentos críticos;
- Equipamentos críticos inoperantes;
- Não implementação das ações de gerenciamento dos riscos;
- EPIs;
Verificar barreiras que cubram os cenários críticos (ex: abalroamento, incêndio, perda de posição, movimentação de cargas, etc)?</t>
  </si>
  <si>
    <t>3.2.2</t>
  </si>
  <si>
    <t>Tanto nos estudos de risco, quanto a bordo, a contratada determina e implementa controles seguindo a hierarquia de: 
a) eliminação;
b) substituição;
c) controles de engenharia;
d) sinalização, alertas e/ou controles administrativos;
e) equipamentos de proteção individual (EPI)?</t>
  </si>
  <si>
    <t>Verificação em campo</t>
  </si>
  <si>
    <t>3.2.3</t>
  </si>
  <si>
    <t>Nas entrevistas a bordo, a força de trabalho tem conhecimento dos riscos a que estão submetidos e as ações de controle?</t>
  </si>
  <si>
    <t>Verificação em campo e entrevistas</t>
  </si>
  <si>
    <t>3.2.4</t>
  </si>
  <si>
    <t>a) Foram estabelecidos gatilhos para revisão dos levantamentos de aspectos e impactos e perigos e danos e para os estudos de riscos para segurança operacional?
Obs: Exemplos de gatilhos:
I) dados oriundos de acidentes e incidentes;
II) simulados de emergência;
III) materiais enviados pela Petrobras (alertas de SMS, abrangência de acidentes, etc.),  ou gerados pela própria empresa, aplicáveis às suas atividades; entre outros.</t>
  </si>
  <si>
    <t>Procedimento documentado;
Levantamento de aspectos e impactos e perigos e danos;
Estudos de riscos
Registros de abrangências dos Alertas de SMS
Registros de avaliação dos simulados
Registros de investigação de acidentes e incidentes.
O potencial impacto ambiental de todas as atividades da empresa e da embarcação foi dimensionado e analisado.</t>
  </si>
  <si>
    <t xml:space="preserve">ELEMENTO 04 - OPERAÇÃO </t>
  </si>
  <si>
    <t>Geral</t>
  </si>
  <si>
    <t>4.1.1</t>
  </si>
  <si>
    <r>
      <rPr>
        <b/>
        <sz val="8"/>
        <rFont val="Arial"/>
        <family val="2"/>
      </rPr>
      <t>Há sistemática para definição e gestão de equipamentos críticos?</t>
    </r>
    <r>
      <rPr>
        <sz val="8"/>
        <color indexed="10"/>
        <rFont val="Arial"/>
        <family val="2"/>
      </rPr>
      <t xml:space="preserve">
</t>
    </r>
    <r>
      <rPr>
        <sz val="8"/>
        <rFont val="Arial"/>
        <family val="2"/>
      </rPr>
      <t xml:space="preserve">a) A relação dos elementos críticos foi validada pela liderança?
</t>
    </r>
    <r>
      <rPr>
        <b/>
        <sz val="8"/>
        <color indexed="10"/>
        <rFont val="Arial"/>
        <family val="2"/>
      </rPr>
      <t xml:space="preserve">
</t>
    </r>
  </si>
  <si>
    <t>Procedimentos documentados;
Definição de sistemas e equipamentos críticos;
Lista de equipamentos;
Registros; 
Análise de risco.</t>
  </si>
  <si>
    <t>4.1.2</t>
  </si>
  <si>
    <r>
      <t>Existe sistemática implementada de Verificação de Conformidade de Procedimentos - VCP?</t>
    </r>
    <r>
      <rPr>
        <sz val="8"/>
        <color indexed="10"/>
        <rFont val="Arial"/>
        <family val="2"/>
      </rPr>
      <t xml:space="preserve"> </t>
    </r>
    <r>
      <rPr>
        <sz val="8"/>
        <rFont val="Arial"/>
        <family val="2"/>
      </rPr>
      <t xml:space="preserve">
</t>
    </r>
  </si>
  <si>
    <t>Procedimento baseado em análise de risco;
Relatórios;
Lista de padrões críticos;
Lista de Verificação:
a) Inclui os procedimentos críticos?
b) Existe um cronograma e o mesmo está sendo cumprido? 
c) A liderança participa do processo?
d) Os equipamentos e sistemas críticos de segurança operacional possuem procedimentos documentados de operação?</t>
  </si>
  <si>
    <t>4.1.3</t>
  </si>
  <si>
    <t>A empresa  possui gestão de operações críticas?</t>
  </si>
  <si>
    <t xml:space="preserve">As operações críticas foram mapeadas através de análise de risco e procedimentadas?
a) Atracação, desatracação e navegação;
b) Aproximação de zona de 500 metros;
c) Transferência de fluidos;
d) Transporte/transbordo de pessoas;
e) Pull-in/Pull-out;
f) Movimentação de cargas;
g) Hook-up;
h) Pull back;
i) Operações simultâneas;
j) Contenção e recolhimento de óleo;
k) Limites meteoceanográficos definidos para as operações;
</t>
  </si>
  <si>
    <t>4.1.4</t>
  </si>
  <si>
    <t xml:space="preserve">a) A embarcação possui procedimento documentado para solicitação de autorização à Unidade Marítima antes de entrar na zona de 500 metros, bem como em toda operação dentro da zona de 500 metros?
b) Existem registros destas comunicações no diário de bordo?
</t>
  </si>
  <si>
    <t>Procedimento documentados;
Constatação durante operação;
Registros prévios de aproximações;
Verificar registros que comprovem;
Protocolos de Aproximação;
Registro fotográfico do diário de bordo;
Procedimento de Bump Test;
Certificado de Calibração dos detectores de gases;
Treinamento no procedimento de Bump Test.</t>
  </si>
  <si>
    <t>4.1.5</t>
  </si>
  <si>
    <t xml:space="preserve">A embarcação utiliza os protocolos de aproximação e se certifica da ausência de gases tóxicos a partir de eventos de abertura de vents nas plataformas ? </t>
  </si>
  <si>
    <t>Registros de aproximação e evidências de utilização do protocolo;
Registro da medição de gases.</t>
  </si>
  <si>
    <t>4.1.6</t>
  </si>
  <si>
    <t>a) Existe procedimento para operações simultâneas?
b) O procedimento detalha quais operações não podem ser realizadas simultaneamente?
c) Existe planejamento para a realização das operações simultâneas?
d) Existe estudos de riscos para a realização das operações simultâneas ?</t>
  </si>
  <si>
    <t>Procedimentos documentados;
Lista de verificação;
Registros;
Constatação visual;
Treinamentos.</t>
  </si>
  <si>
    <t>4.1.7</t>
  </si>
  <si>
    <t>As permissões para trabalho emitidas  estão de acordo com o procedimento existente:
I) está dentro dos serviços que exigem emissão de PT?
II) estão os responsáveis: pela emissão, execução e encerramento/revalidação da PT?
III) existe a elaboração da APR e realização das inspeções prévias antes dos inícios das tarefas?
IV) existe a identificação dos tipos de isolamentos de energia necessários?
V)existe  a identificação das medições e monitoramentos necessários à liberação do trabalho e informações das FISPQ?
VI) existe a identificação e planejamento das medidas de resgates e das operações simultâneas (SIMOPS)?
VII)existe a identificação das áreas conflitantes?
VIII) existe a elaboração em três vias e sistemáticas para acompanhamento das emissões das PTs?
IX) Estão definidos os critérios de rastreabilidade das PTs (ordem seqüencial)?</t>
  </si>
  <si>
    <t>Verificar PT emitida;
Procedimentos documentados;
Lista de verificação;
Regras de Ouro da Petrobras;
NR 10 (quando aplicável), NR 20, NR 30, NR 33, NR 34 e NR 35, etc;
Auditoria realizada;
Consolidação do ano anterior ao ciclo atual.</t>
  </si>
  <si>
    <t>Transporte de Pessoas</t>
  </si>
  <si>
    <t>4.2.1</t>
  </si>
  <si>
    <t>Está sendo seguido o que está estabelecido na NR-37, itens 37.11.4.1 e 37.11.5 para a transferência de pessoas ?</t>
  </si>
  <si>
    <t>Procedimentos documentados;
NR-37.</t>
  </si>
  <si>
    <t>4.2.2</t>
  </si>
  <si>
    <t xml:space="preserve">a) Os efeitos das condições de tempo e mar são considerados nas operações de transferência de pessoas?
b) O anemômetro está operacional e calibrado?
</t>
  </si>
  <si>
    <t>Procedimento documentado.</t>
  </si>
  <si>
    <t>Transporte de Cargas e Granéis</t>
  </si>
  <si>
    <t>Operação com carga embalada / contêineres</t>
  </si>
  <si>
    <t>4.3.1</t>
  </si>
  <si>
    <t>a) Existe um procedimento para transporte de materiais e fontes radioativas de acordo com normas da CNEN estabelecidas (fontes e material de ocorrência natural - NORM - com baixa atividade)? 
b) A arrumação e cuidados com as cargas radioativas a bordo é realizada conforme diretrizes do código IMDG Code?</t>
  </si>
  <si>
    <t>Documentações;
Autorizações e licenças.</t>
  </si>
  <si>
    <t>Operação com granéis líquidos/sólidos</t>
  </si>
  <si>
    <t>4.3.2</t>
  </si>
  <si>
    <r>
      <t>a) Existe procedimento para as operações de transferência de granéis poluentes?
b) O procedimento contempla a utilização de bandeja de contenção sob a conexão do magote da Unidade Marítima ou píer com o mangote da embarcação e orientações para o tamponamento dos embornais?
c) A bandeja de contenção possui capacidade suficiente, aproximadamente 200 litros para as tomadas de abastecimentos e 20 litros para suspiros conforme NORMAN 1, para evitar que o óleo seja derramado no convés?
d) Existe</t>
    </r>
    <r>
      <rPr>
        <i/>
        <sz val="8"/>
        <rFont val="Arial"/>
        <family val="2"/>
      </rPr>
      <t xml:space="preserve"> kit </t>
    </r>
    <r>
      <rPr>
        <sz val="8"/>
        <rFont val="Arial"/>
        <family val="2"/>
      </rPr>
      <t>de contenção/SOPEP próximo?
e) Os bujões das bandejas de contenção e dos embornais estão disponíveis e com boa vedação?</t>
    </r>
  </si>
  <si>
    <t>Procedimentos documentados;
Constatação durante operação;
Constatação Visual;
Treinamento.</t>
  </si>
  <si>
    <t>4.3.3</t>
  </si>
  <si>
    <t>Há previsão no procedimento informando de que o Comandante somente inicia uma operação de transferência de granéis líquidos quando os mangotes utilizados para o bombeamento tenham sido totalmente desenrolados do carretel da Unidade Marítima?</t>
  </si>
  <si>
    <r>
      <t xml:space="preserve">Procedimento documentado;
</t>
    </r>
    <r>
      <rPr>
        <b/>
        <sz val="8"/>
        <rFont val="Arial"/>
        <family val="2"/>
      </rPr>
      <t>Constatação durante operação.</t>
    </r>
  </si>
  <si>
    <t>4.3.4</t>
  </si>
  <si>
    <t>Há previsão no procedimento informando de que o Comandante somente inicia uma operação de transferência de granéis líquidos quando os mangotes utilizados para o bombeamento estão visíveis no mar através da utilização de flutuadores (mínimo quatro ao longo do mangote e, caso haja emenda, também um de cada lado)?</t>
  </si>
  <si>
    <t>Procedimento documentado;
Constatação durante operação.</t>
  </si>
  <si>
    <t>4.3.5</t>
  </si>
  <si>
    <t xml:space="preserve">a) Os mangotes e conexões são inspecionados, a cada uso, visando a identificação de áreas enfraquecidas ou desgastadas e haste de válvulas danificadas?
b) Os mangotes da embarcação estão armazenados de forma longitudinal em cabides próprios sem dobras, fissuras e/ou aduchados?
c) Os Mangotes de transferência de água da embarcação encontram-se armazenados em cabides próprios, tamponados e de forma a não permitir contato com agentes biológicos ou patogênicos?
</t>
  </si>
  <si>
    <t>Procedimento documentado;
Registro de inspeção;
Certificado de Qualidade dos mangotes.</t>
  </si>
  <si>
    <t>Operação de Recolhimento de Óleo</t>
  </si>
  <si>
    <t>4.4.1</t>
  </si>
  <si>
    <t>a) Existe e está sendo cumprido procedimento de manutenção da posição de prontidão?
b) O procedimento inclui preocupação com a identificação de possíveis colisões e abalroamentos?
c) O procedimento está em português e outras línguas aplicáveis? 
d) O procedimento foi elaborado/revisado nos últimos 18 meses?
e) Existe evidência de treinamento da tripulação? 
f) O procedimento inclui ações de resposta para incidentes previstos na análise de risco?</t>
  </si>
  <si>
    <t xml:space="preserve">Procedimento documentado.
</t>
  </si>
  <si>
    <t>4.4.2</t>
  </si>
  <si>
    <r>
      <t>a) Existe e está sendo cumprido procedimento para a operação de contenção e recolhimento de óleo? 
b) Estes procedimentos contemplam cuidados com movimento de cargas (barco de apoio e recolhedor-</t>
    </r>
    <r>
      <rPr>
        <i/>
        <sz val="8"/>
        <rFont val="Arial"/>
        <family val="2"/>
      </rPr>
      <t>skimmer</t>
    </r>
    <r>
      <rPr>
        <sz val="8"/>
        <rFont val="Arial"/>
        <family val="2"/>
      </rPr>
      <t>), cabos tensionados, colisão, abalroamento, aproximação em área com atmosfera potencialmente explosiva, navegação segura com barreiras e condições ambientais limites (estado de mar)? 
c) O procedimento está em português e outras línguas aplicáveis? 
d) O procedimento foi elaborado/revisado nos últimos 18 meses?
e) Existe evidência de treinamento da tripulação? 
f) O procedimento inclui ações de resposta para incidentes previstos na análise de risco?</t>
    </r>
  </si>
  <si>
    <t>4.4.3</t>
  </si>
  <si>
    <t>a) Existe e está sendo cumprido procedimento para operação de dispersão mecânica? 
b) Este procedimento contempla cuidados com colisão, abalroamento e aproximação em área com atmosfera potencialmente explosiva? 
c) O procedimento está em português e outras línguas aplicáveis? 
d) O procedimento foi elaborado/revisado nos últimos 18 meses? 
e) Existe evidência de treinamento da tripulação? 
f) O procedimento inclui ações de resposta para incidentes previstos na análise de risco?</t>
  </si>
  <si>
    <t>4.4.4</t>
  </si>
  <si>
    <t>a) Existe e está sendo cumprido procedimento para operação de dispersão química?
b) Este procedimento contempla cuidados com a manipulação de produtos químicos perigosos, medição de vazão e autorização expressa pela Petrobras?
c) O procedimento está em português e outras línguas aplicáveis?
d) O procedimento foi elaborado/revisado nos últimos 18 meses?
e) Existe evidência de treinamento da tripulação? 
f) O procedimento inclui ações de resposta para incidentes previstos na análise de risco?</t>
  </si>
  <si>
    <t>Equipamentos para Operação de Reboque</t>
  </si>
  <si>
    <t>4.5.1</t>
  </si>
  <si>
    <t>Existe procedimento de inspeção do equipamento de reboque / Emergência manuseio por um oficial competente da embarcação e seus registros são mantidos?</t>
  </si>
  <si>
    <t>Procedimento documentado;
Registro de inspeção;
Certficação.</t>
  </si>
  <si>
    <t>4.5.2</t>
  </si>
  <si>
    <t>Existe procedimento estabelecendo limites operacionais para que a tarefa seja realizada de forma segura ?</t>
  </si>
  <si>
    <t>4.5.3</t>
  </si>
  <si>
    <t xml:space="preserve">Todo o equipamento de reboque está certificado, os certificados se encontram válidos e estão disponíveis a bordo? </t>
  </si>
  <si>
    <t>Certificados</t>
  </si>
  <si>
    <t>Convés</t>
  </si>
  <si>
    <t>4.6.1</t>
  </si>
  <si>
    <r>
      <t xml:space="preserve">As seguintes Zonas de Segurança das embarcações que transportam carga estão demarcadas de forma visível no convés: 
a) as </t>
    </r>
    <r>
      <rPr>
        <i/>
        <sz val="8"/>
        <rFont val="Arial"/>
        <family val="2"/>
      </rPr>
      <t>Safety Zones</t>
    </r>
    <r>
      <rPr>
        <sz val="8"/>
        <rFont val="Arial"/>
        <family val="2"/>
      </rPr>
      <t xml:space="preserve"> - proteção de pessoas?
b) as </t>
    </r>
    <r>
      <rPr>
        <i/>
        <sz val="8"/>
        <rFont val="Arial"/>
        <family val="2"/>
      </rPr>
      <t>Dangerous Good Area</t>
    </r>
    <r>
      <rPr>
        <sz val="8"/>
        <rFont val="Arial"/>
        <family val="2"/>
      </rPr>
      <t xml:space="preserve"> - para cargas perigosas?</t>
    </r>
  </si>
  <si>
    <t>Constatação visual</t>
  </si>
  <si>
    <t>4.6.2</t>
  </si>
  <si>
    <t xml:space="preserve">Escotilhas, portas, etc. que dão acesso aos convés possuem sinalização para serem mantidas fechadas durante a navegação? </t>
  </si>
  <si>
    <t xml:space="preserve">Procedimento documentado;
Constatação visual;
Certificados.
</t>
  </si>
  <si>
    <t>4.6.3</t>
  </si>
  <si>
    <t>As condições de estanqueidade de qualquer abertura acima da borda livre nos conveses (portas de visita, agulheiro, escotilhões) são mantidas?</t>
  </si>
  <si>
    <t>Constatação visual;
Checklist .</t>
  </si>
  <si>
    <t>4.6.4</t>
  </si>
  <si>
    <t>As condições dos suspiros,tela corta chamas  e  redes estão em boas condições e as válvulas de fechamento estão operacionais?</t>
  </si>
  <si>
    <t>Constatação visual;
Checklist.</t>
  </si>
  <si>
    <t>4.6.5</t>
  </si>
  <si>
    <r>
      <t>a) Os equipamentos de içamento e movimentação de carga (guindastes, pau de carga, etc.) possuem a identificação do SWL (</t>
    </r>
    <r>
      <rPr>
        <i/>
        <sz val="8"/>
        <rFont val="Arial"/>
        <family val="2"/>
      </rPr>
      <t>Safe Working Load</t>
    </r>
    <r>
      <rPr>
        <sz val="8"/>
        <rFont val="Arial"/>
        <family val="2"/>
      </rPr>
      <t>) e tabela de cargas?
b) Os certificados dos equipamentos de movimentação de carga estão disponíveis a bordo e encontram-se válidos?</t>
    </r>
  </si>
  <si>
    <t>4.6.6</t>
  </si>
  <si>
    <r>
      <t>a) Os acessórios de içamento de carga (eslingas, correntes, cabos, olhais, etc.) possuem identificação do SWL (</t>
    </r>
    <r>
      <rPr>
        <i/>
        <sz val="8"/>
        <rFont val="Arial"/>
        <family val="2"/>
      </rPr>
      <t>Safe Working Load</t>
    </r>
    <r>
      <rPr>
        <sz val="8"/>
        <rFont val="Arial"/>
        <family val="2"/>
      </rPr>
      <t>) apropriado para as cargas que serão sustentadas?
b) Os certificados dos acessórios de içamento de carga estão disponíveis a bordo e encontram-se válidos?</t>
    </r>
  </si>
  <si>
    <t>4.6.7</t>
  </si>
  <si>
    <t>a) Estão em boas condições de conservação os equipamentos que possam apresentar risco de queda sobre a tripulação (holofotes, câmeras, antenas, etc.)?
b) Existe dispositivo de segurança adicional-trava quedas- (cabos, correntes) para fixação de luminárias, câmeras, antenas, etc?</t>
  </si>
  <si>
    <t>Praça de Máquinas</t>
  </si>
  <si>
    <t>4.7.1</t>
  </si>
  <si>
    <t>a) Os obstáculos, ressaltos e partes móveis de máquinas ou equipamentos estão efetivamente protegidas, sinalizadas e pintadas?
b) Rotas de fuga estão adequadamente sinalizadas?</t>
  </si>
  <si>
    <t>4.7.2</t>
  </si>
  <si>
    <t>Existe procedimento para partida e parada dos principais equipamentos e sistemas de bordo, entre outros: Sistema de Governo, Sistema de Propulsão e Sistema de Geração de Energia?</t>
  </si>
  <si>
    <t>Procedimento documentado</t>
  </si>
  <si>
    <t>4.7.3</t>
  </si>
  <si>
    <t>a) As válvulas da rede de esgoto sanitário e válvula do esgoto das dalas, que descarregam diretamente para o costado, possuem indicação de permanecer na posição fechada no porto, anexo 4, regra 11, MARPOL 73/78.
b) Estão travadas contra abertura sem autorização do Comandante? 
c) As válvulas de descarte para o mar possuem lacres de proteção?</t>
  </si>
  <si>
    <t>Procedimento documentado;
Indicação afixada próxima as válvulas;
Constatação visual.</t>
  </si>
  <si>
    <t>4.7.4</t>
  </si>
  <si>
    <r>
      <t>O livro de registro de óleo (</t>
    </r>
    <r>
      <rPr>
        <i/>
        <sz val="8"/>
        <rFont val="Arial"/>
        <family val="2"/>
      </rPr>
      <t>Oil Record Book</t>
    </r>
    <r>
      <rPr>
        <sz val="8"/>
        <rFont val="Arial"/>
        <family val="2"/>
      </rPr>
      <t>) está preenchido corretamente, ou seja:
a) Contém todas as manobras de óleo?
b) Assinaturas do Chefe de Máquinas para cada operação e do Comandante para cada fechamento de folha?
c) Sem rasuras?
d) Os registros realizados para descartes de óleos estão de acordo com a legislação?</t>
    </r>
  </si>
  <si>
    <t>Verificação do livro de registro</t>
  </si>
  <si>
    <t>Saúde</t>
  </si>
  <si>
    <t>4.8.1</t>
  </si>
  <si>
    <t>a) Existe na embarcação uma área segregada para um tratamento imediato das condições de saúde do tripulante ? 
 b) Existe um procedimento da empresa com fluxo de atendimento para o tratamento de casos mais graves que afetarem a saúde de um tripulante, ou tratamento em caso de acidentes graves ?  
c) Existe contato com médico de terra para o correto atendimento e prescrição de medicação ao tripulante ?
d) O controle de medicamentos está sendo realizado e com acesso restrito ?
e) A embarcação é dotada de medicamento e insumos de saúde, estando esses relacionados em uma listagem elaborada pela empresa e com uma pessoa responsável pela guarda e utilização dos mesmos? 
f) Os medicamentos e insumos de saúde estão acondicionados em local apropriado, de acesso restrito, arejado e protegido de umidade e calor?
g) Os procedimentos estão alinhados e compatíveis com o PCMSO elaborado ?</t>
  </si>
  <si>
    <t xml:space="preserve">Constatação Visual
- Portaria n° 311/DPC- 19/12/ 2014 
- NORMAM- 01.
- PORTARIA SVS Nº 344 - 12/05/98 
- SVS - SECRETARIA DE VIGILÂNCIA SANITÁRIA - MINISTÉRIO DA SAÚDE
- Portaria SVS N º 722 de 10/09/98 - 
- Resolução ANVISA/RDC Nº72 - 29/12/2009 
- Resolução ANVISA/RDC Nº10 - 09/02/2012.
Os registros de atendimento realizados a bordo, estão bem organizados, legíveis, atualizados e estão disponíveis para consulta a qualquer tempo?  </t>
  </si>
  <si>
    <t xml:space="preserve"> Alimentos/ Cozinha / Refeitório</t>
  </si>
  <si>
    <t>4.9.1</t>
  </si>
  <si>
    <t>a) É verificada a temperatura e integridade dos alimentos na recepção e armazenagem destes produtos?
b) São realizadas manutenções programadas e periódicas dos equipamentos e utensílios, e calibração dos instrumentos ou equipamentos de medição, mantendo
registro da realização dessas operações?</t>
  </si>
  <si>
    <t>Constatação visual;
Registros de inspeção;
Registros de monitoramento da temperatura
OBS. orientação da ANVISA de 09/11/2016 que em suas considerações finais refere que o termômetro de espeto é o correto. Os  infravermelhos são susceptíveis a erros e medem apenas a superfície de alimentos;
Procedimento documentado;
Certificados.</t>
  </si>
  <si>
    <t>4.9.2</t>
  </si>
  <si>
    <t xml:space="preserve">Os equipamentos de distribuição dos alimentos estão sob temperatura controlada, adequado estado de higiene, conservados, dimensionados e em bom funcionamento? </t>
  </si>
  <si>
    <t>Constatação Visual;
Checklist;
Certificado dedetização, anvisa(controle sanitário); 
Procedimento documentado.</t>
  </si>
  <si>
    <t>4.9.3</t>
  </si>
  <si>
    <t>a) A câmara de refrigeração ou congelamento de alimentos dispõe de termômetros visíveis e em adequado funcionamento?
b) São mantidos registros do monitoramento?
c) Existe alarme na câmara de refrigeração para evitar que algum tripulante fique preso inadvertidamente em seu interior?</t>
  </si>
  <si>
    <t>Registros;
Certificado de calibração dos termômetros visíveis.</t>
  </si>
  <si>
    <t>4.9.4</t>
  </si>
  <si>
    <t>A embarcação possui equipamento de trituração de alimentos e balança para pesagem dos alimentos antes do descarte?</t>
  </si>
  <si>
    <t>Registro de pesagem dos alimentos e descarte no mar;
Certificado de calibração da balança.</t>
  </si>
  <si>
    <t>ELEMENTO 05 - SEGURANÇA TÉCNICA E EFICIÊNCIA ENERGÉTICA</t>
  </si>
  <si>
    <t>Segurança na Navegação</t>
  </si>
  <si>
    <t>5.1.1</t>
  </si>
  <si>
    <t>A empresa marítima designou pessoal de base devidamente qualificado, para ser responsável pelos procedimentos de navegação da companhia?</t>
  </si>
  <si>
    <t>Registro da designação;
Evidências de qualificação do pessoal responsável pelos procedimentos de navegação da companhia.</t>
  </si>
  <si>
    <t>5.1.2</t>
  </si>
  <si>
    <t>A empresa possui procedimentos documentados e sistemática robustos e abrangentes de segurança na navegação e monitoramento de manobras, incluindo atracações, desatracações, navegação e operações com plataformas, visando a antecipar e tratar situações que possam provocar acidentes?</t>
  </si>
  <si>
    <t xml:space="preserve">Procedimentos documentados;
Definição de procedimento crítico
Lista de equipamentos e sistemas versus procedimentos
Registros
Padrões de manobra dos portos onde a empresa opere
</t>
  </si>
  <si>
    <t>5.1.3</t>
  </si>
  <si>
    <t>A empresa possui procedimento documentado e aplica um efetivo Gerenciamento de Passadiço (BRM - Bridge Resource Management)?</t>
  </si>
  <si>
    <t xml:space="preserve">Procedimento documentado;
Planejamento do trajeto;
Identificação de incidentes e desvios;
Execução e monitoramento do trajeto;
Navegação eletrônica;
Cartas náuticas eletrônicas;
Relação entre prático e equipe de passadiço;
STCW;
Reg. A-II/1 for Bridge Resource Management;
Reg. A-III/1 for Engine-room Resource Management;
Reg. A-II/2 and A-III/2 for Use Leadership and Managerial Skills;
Reg. A-II/1, A-III/1 and A-III/6 for Application of Leadership and Teamworking Skills.
</t>
  </si>
  <si>
    <t>5.1.4</t>
  </si>
  <si>
    <t>Os equipamentos de navegação estão operacionais?</t>
  </si>
  <si>
    <t>Verificação na embarcação</t>
  </si>
  <si>
    <t>5.1.5</t>
  </si>
  <si>
    <t>O setor responsável pelos procedimentos de navegação da empresa realiza verificações periódicas nas práticas operacionais, revisando os procedimentos, realizando VCP?</t>
  </si>
  <si>
    <t>Procedimentos documentados;.
Revisões de VCP</t>
  </si>
  <si>
    <t>5.1.6</t>
  </si>
  <si>
    <t>A empresa possui sistema que garanta que só contrate oficiais (imediatos, oficiais, pilotos, chefes) devidamente formados e habilitados pela autoridde marítima?</t>
  </si>
  <si>
    <t xml:space="preserve">Verificar sistemática de contratação dos oficiais;
</t>
  </si>
  <si>
    <t>5.1.7</t>
  </si>
  <si>
    <t>São realizadas auditorias nas práticas de navegação, atracação, desatracações e operações com unidades marítimas, para verificar conformidade, práticas adequadas, revisando-as quando necessário?</t>
  </si>
  <si>
    <t>Verificar auditorias realizadas</t>
  </si>
  <si>
    <t>5.1.8</t>
  </si>
  <si>
    <t xml:space="preserve">Os oficiais (comandantes, imediatos, pilotos) passam periodicamente por treinamentos, e reciclagens,  através de simuladores, em consonância com a IMCA 117?
</t>
  </si>
  <si>
    <r>
      <t xml:space="preserve">Treinamentos realizados
Entrevistas com comandantes, imediatos, pilotos
</t>
    </r>
    <r>
      <rPr>
        <b/>
        <sz val="8"/>
        <rFont val="Arial"/>
        <family val="2"/>
      </rPr>
      <t>OBS.:</t>
    </r>
    <r>
      <rPr>
        <sz val="8"/>
        <rFont val="Arial"/>
        <family val="2"/>
      </rPr>
      <t xml:space="preserve"> Quando este item for classificado como NA, o auditor deverá fazer uma ressalva informando que a empresa não está habilitada para ofertar embarcações com DP. </t>
    </r>
  </si>
  <si>
    <t xml:space="preserve"> Atividades especializadas - Operações de posicionamento dinâmico (DP)</t>
  </si>
  <si>
    <t>5.2.1</t>
  </si>
  <si>
    <t>A empresa possui um departamento de garantia de DP estruturado?</t>
  </si>
  <si>
    <t xml:space="preserve">Apresentação do organograma da empresa;
OBS.: Quando este item for classificado como NA, o auditor deverá fazer uma ressalva informando que a empresa não está habilitada para ofertar embarcações com DP. 
a) Avaliação de competências formais do pessoal chave de DP - IMCA 117;
b) Desenvolvimento da matriz de treinamento de pessoal chave de DP;
c) Acompanhamento e aplicação da matriz de treinamento desenvolvida;
d) Desenvolvimento dos padrões de familiarização específicos para cada embarcação;
e) Acompanhamento e aplicação dos padrões de familiarização desenvolvidos;
f) Acompanhamento e registro de experiência de cada tripulante em cada tipo de embarcação;
g) Desenvolvimento de simulados de emergência em DP;
h) Desenvolvimento das matrizes de simulados para cada embarcação;
i) Acompanhamento e registro da execução dos simulados de cada tripulante para cada embarcação;
j) Criação de um plano de desenvolvimento contínuo do pessoal chave de DP;
k) Acompanhamento e aplicação dos planos de desenvolvimento contínuo;
l) Desenvolvimento de um programa de avaliação de competência (assessment) do pessoal chave de DP;
m) Acompanhamento e aplicação das avaliações de competência do pessoal chave de DP;
n) Retroalimentação dos gaps identificados nas avaliações de competência na matriz de treinamento específica do tripulante em questão;
o) Rotina de acompanhamento de embarque de tripulantes e garantia de atendimento aos requisitos;
p) Gestão da documentação técnica necessária a bordo: FMEA, FMEA Trials, Manual de Operações de DP, Procedimentos Operacionais (Checklists diversos, CAMO, ASOG, Manobras de Emergência), manuais técnicos de equipamentos etc.;
q) Acompanhamento da execução de FMEA Trials e DP annual Trials;
r) Acompanhamento investigativo de qualquer evento indesejável de DP – qualquer evento, desde uma simples degradação até o evento topo de perda de posicionamento e controle da embarcação;
</t>
  </si>
  <si>
    <t>5.2.2</t>
  </si>
  <si>
    <t>As embarcações DP da empresa possuem um manual de operações DP?</t>
  </si>
  <si>
    <r>
      <t xml:space="preserve">Apresentação dos manuais de todas as embarcações. 
</t>
    </r>
    <r>
      <rPr>
        <b/>
        <sz val="8"/>
        <rFont val="Arial"/>
        <family val="2"/>
      </rPr>
      <t xml:space="preserve">OBS.: Quando este item for classificado como NA, o auditor deverá fazer uma ressalva informando que a empresa não está habilitada para ofertar embarcações com DP. </t>
    </r>
  </si>
  <si>
    <t>5.2.3</t>
  </si>
  <si>
    <t>As embarcações da empresa possuem um Checklist pré-operacional para garantir a correta configuração da embarcação conforme preconiza a IMO MSC 1580?</t>
  </si>
  <si>
    <r>
      <t xml:space="preserve">Apresentação de pelo menos um Checklist preenchido pelas embarcações da empresa.
</t>
    </r>
    <r>
      <rPr>
        <b/>
        <sz val="8"/>
        <rFont val="Arial"/>
        <family val="2"/>
      </rPr>
      <t xml:space="preserve">OBS.: Quando este item for classificado como NA, o auditor deverá fazer uma ressalva informando que a empresa não está habilitada para ofertar embarcações com DP. </t>
    </r>
  </si>
  <si>
    <t>5.2.4</t>
  </si>
  <si>
    <t>Existe para a embarcação auditada um CAM ASOG para cada tipo de operação e locação (interface com unidade marítima)?</t>
  </si>
  <si>
    <r>
      <t xml:space="preserve">Apresentação do conjunto de CAM ASOG específico por operação da embarcação. 
</t>
    </r>
    <r>
      <rPr>
        <b/>
        <sz val="8"/>
        <rFont val="Arial"/>
        <family val="2"/>
      </rPr>
      <t xml:space="preserve">OBS.: Quando este item for classificado como NA, o auditor deverá fazer uma ressalva informando que a empresa não está habilitada para ofertar embarcações com DP. </t>
    </r>
  </si>
  <si>
    <t>5.2.5</t>
  </si>
  <si>
    <t>Existe um programa sob responsabilidade do setor de garantia de DP para auditoria dos checklists pré-operacionais de DP?</t>
  </si>
  <si>
    <t xml:space="preserve">Apresentação do programa, cronogramas, auditorias e resultados. </t>
  </si>
  <si>
    <t>5.2.6</t>
  </si>
  <si>
    <t>As contratações de novos tripulantes são feitas com o auxílio e avaliação do setor de garantia de DP?</t>
  </si>
  <si>
    <t>Apresentação do fluxo de contratação adotado pela empresa.</t>
  </si>
  <si>
    <t>5.2.7</t>
  </si>
  <si>
    <t>O setor de garantia de DP possui um programa de avaliação de competência estruturado contendo minimamente os tópicos abordados abaixo?
a) Programa de avaliação e auditoria pela liderança de bordo;
b) Programa de auditoria por especialista (externo à embarcação) em operações (náutica e máquinas) à bordo das embarcações;
c) Provas e simulados para verificação de competências.</t>
  </si>
  <si>
    <t>Apresentação do programa, cronograma e resultados.</t>
  </si>
  <si>
    <t>5.2.8</t>
  </si>
  <si>
    <t>O setor de garantia de DP controla os processos relacionados FMEAS, FMEA Trials e DP Annual Trials.
a) Acompanhar a execução dos testes de FMEA Trials e garantir a solução das não conformidades encontradas durantes os testes;
b) Supervisionar os testes de DP Annual Trials, garantindo sua melhor execução e resolução das não conformidades encontradas;
c) Desenvolver uma matriz de acompanhamento de execução de FMEA Trials e DP Annual Trials pelos tripulantes.</t>
  </si>
  <si>
    <t xml:space="preserve">Apresentação das atribuições do setor de garantia de DP, avaliação do modelo de gestão de FMEA Trials e DP Annual Trials. Avaliar e apresentar ao menos 3 FMEAS para verificação de excelência. Auditar a quitação de itens não conformes encontrados no último DP Annual Trials de 3 embarcações.
</t>
  </si>
  <si>
    <t>5.2.9</t>
  </si>
  <si>
    <t xml:space="preserve">Os FMEAS das embarcações apresentam minimamente os seguintes itens:
i. Modo de Falha
ii. Causas
iii. Probabilidade
iv. Efeito Local
v. Efeito Final
vi. Criticidade
</t>
  </si>
  <si>
    <t>a) A embarcação DP é submetida ao teste do sistema DP a cada 5 anos? 
b) Existe a  verificação do quanto o FMEA atual se diferencia do Inicial, assim como são determinados os ajustes no sistema e equipamentos que devem ser feitos a fim de tornar o sistema DP ao estado de intacto, confiável? (IMCA 166)
OBS.: Quando este item for classificado como NA, o auditor deverá fazer uma ressalva informando que a empresa não está habilitada para ofertar embarcações com DP.</t>
  </si>
  <si>
    <t>BAIXO CARBONO</t>
  </si>
  <si>
    <t>5.3.1</t>
  </si>
  <si>
    <t xml:space="preserve">a) A empresa está com sistemática estabelecida para acompanhamento dos gases de efeito estufa (GEE), seguindo o estabelecido na ISO 14064, se pautando nos 05 (cinco) princípios da ABNT NBR ISO 14064-1 e ABNT NBR ISO 14064-2 , a serem: relevância, integralidade, consistência, precisão, transparência e conservadorismo?
b) A empresa está com seu inventário atualizado sobre a emissão de Gases de Efeito Estufa?
c) Existe a Mensuração, publicação de inventário de emissão de gases de efeito estufa pela frota de embarcações, e verificação por uma terceira parte independente, conforme os critérios do Programa Brasileiro GHG Protocol em http://www.ghgprotocolbrasil.com.br/especificacoes-de-verificacao/?locale=pt-br ou entidade reconhecida internacionalmente”;
</t>
  </si>
  <si>
    <t>Procedimentos da ISO 14064;
Protocolos do Programa Brasileiro GHG.</t>
  </si>
  <si>
    <t>5.3.2</t>
  </si>
  <si>
    <t>A política de proteção ambiental e o plano de gestão estão em vigor e contemplam ações de longo prazo, metas específicas de redução de emissões ?</t>
  </si>
  <si>
    <t>Verificar política de proteção ambiental e implementação de um plano de gestão ambiental.</t>
  </si>
  <si>
    <t>5.3.3</t>
  </si>
  <si>
    <t>Foram sistematicamente identificadas todas as fontes de emissões marinhas e atmosféricas atribuíveis às atividades da empresa e da embarcação?</t>
  </si>
  <si>
    <t xml:space="preserve"> Mapeamento das fontes.
</t>
  </si>
  <si>
    <t>5.3.4</t>
  </si>
  <si>
    <t xml:space="preserve">A empresa adota medidas técnicas/de engenharia em suas embarcações, que comprovem a redução das emissões de CO2 e de consumo de diesel? </t>
  </si>
  <si>
    <t>Verificar procedimentos e implementação das medidas determinadas.</t>
  </si>
  <si>
    <t>5.3.5</t>
  </si>
  <si>
    <t>O plano de gestão ambiental inclui a gestão de combustível, (garantir conformidade regulamentar, eficiência energética e emissões reduzidas), com uso eficiente de energia e inclui ações de desempenho ambiental?</t>
  </si>
  <si>
    <t>Verificar o plano de gestão ambiental e ações implementadas.</t>
  </si>
  <si>
    <t>5.3.6</t>
  </si>
  <si>
    <t>A empresa explora novas idéias e novas tecnologias,  e se engaja em parcerias tecnológicas relacionadas à performance de atuação relacionada ao desempenho ambiental?</t>
  </si>
  <si>
    <t xml:space="preserve"> Verificar participações em eventos, seminários, parcerias existentes.</t>
  </si>
  <si>
    <t>ELEMENTO 06 - MANUTENÇÃO E CONFIABILIDADE DE EMBARCAÇÕES</t>
  </si>
  <si>
    <t>Manutenção Corretiva e Preventiva</t>
  </si>
  <si>
    <t>6.1.1</t>
  </si>
  <si>
    <t>Toda embarcação da empresa é coberta por um sistema de manutenção planejado e o inventário de peças sobressalentes (estoque mínimo, pontos de ressuprimento) existente reflete a estratégia de manutenção da empresa?</t>
  </si>
  <si>
    <t>Sistema de manutenção; 
Inventário de sobressalentes; 
Registros de manutenção;
Procedimento.</t>
  </si>
  <si>
    <t>6.1.2</t>
  </si>
  <si>
    <t>A empresa possui uma estrutura adequada de Gestão de Manutenção, com responsável técnico designado, compatível com o porte de sua frota, com pessoal qualificado, habilitado e experiente?</t>
  </si>
  <si>
    <t>Organograma, currículos, entrevistas, A empresa possui um setor de manutenção estruturado minimamente conforme os itens apresentados abaixo?
a) Organograma no qual todo o setor de manutenção é organizado;
b) Papéis e responsabilidades dos colaboradores em seus níveis hierárquicos;
c) Todos os processos sob responsabilidade do setor de manutenção de forma generalizada;
d) Apresentação (no padrão ou em padrão anexo) dos processos de:
i. Manutenções Preventivas;
ii. Políticas de postergação;
iii. Controle de parâmetros operacionais
iv. Análises Preditivas;
v. Manutenções corretivas;
vi. Failure Reports;
e) Apresentar os equipamentos críticos padrão de uma embarcação (no Padrão ou padrão anexo);
f) Apresentar os indicadores de desempenho;
g) Apresentar os modelos de controle utilizados para garantia de integridade das embarcações (auditorias, inspeções, testes periódicos, monitoramento on line);</t>
  </si>
  <si>
    <t>6.1.3</t>
  </si>
  <si>
    <t>A empresa possui procedimento documentado e grupo de inspeção estruturado a fim de avaliar a integridade dos equipamentos e instalações da embarcação, verificando a aderência destes ao contrato, Normas, Legislação, manual do fabricante e outros?</t>
  </si>
  <si>
    <t>Calendário de inspeções;
Não conformidades identificadas;
Tratamento das não conformidades;
Resultado de testes;
Procedimento Documentado.</t>
  </si>
  <si>
    <t>6.1.4</t>
  </si>
  <si>
    <t>A empresa possui e implementou procedimento de garantia da qualidade e precisão de informações estatutárias e de certificados das Sociedades Classificadoras?</t>
  </si>
  <si>
    <t>Procedimento e registros</t>
  </si>
  <si>
    <t>6.1.5</t>
  </si>
  <si>
    <t>A empresa possui sistema informatizado de manutenção abrangendo as embarcações de sua frota, incorporando todas as tarefas de manutenção e report de defeitos e o sistema possui integridade contra adulterações de registros?</t>
  </si>
  <si>
    <t>Apresentação do sistema informatizado</t>
  </si>
  <si>
    <t>6.1.6</t>
  </si>
  <si>
    <t>A empresa possui sistemática de auditorias de engenharia de manutenção e inspeção dos equipamentos/embarcação com pessoal qualificado e experiente?</t>
  </si>
  <si>
    <t>Relatórios de auditoria</t>
  </si>
  <si>
    <t>6.1.7</t>
  </si>
  <si>
    <t>A liderança estabeleceu e monitora indicadores de performance da confiabilidade de cada embarcação e da frota como um todo, abrangendo operacionalidade, status das manutenções, controle de pendências e compatíveis com expectativa dos clientes?</t>
  </si>
  <si>
    <t>Indicadores, metas, registros de acompanhamento de performance
O setor manutenção possui indicadores que reflitam o exposto abaixo?
a) Índice de falhas em operação por hora trabalhada;
b) Índice de causas raízes investigadas por falha;
c) Índice de não conformidades preditivas por embarcação;
d) Índice de desvios de parâmetros operacionais por embarcação;
e) Índice de análise de risco realizadas por manutenções em atraso</t>
  </si>
  <si>
    <t>6.1.8</t>
  </si>
  <si>
    <t xml:space="preserve">1) Existe plano de manutenção preventiva e corretiva dos diversos equipamentos e sistemas? 
Obs.: Verificar como amostragem equipamentos definidos como críticos. 
</t>
  </si>
  <si>
    <r>
      <t>a) Procedimentos documentados
b) Registros de manutenção
c) Atendem as orientações da NR 12 e da NR 34 em relação a Manutenção e Inspeção de equipamentos?</t>
    </r>
    <r>
      <rPr>
        <b/>
        <sz val="8"/>
        <color indexed="10"/>
        <rFont val="Arial"/>
        <family val="2"/>
      </rPr>
      <t xml:space="preserve">
</t>
    </r>
    <r>
      <rPr>
        <sz val="8"/>
        <rFont val="Arial"/>
        <family val="2"/>
      </rPr>
      <t>d) As manutenções estão sendo realizadas dentro do prazo estabelecido, de acordo com orientações do fabricante ou especificações técnicas vigentes?
e) Os registros possuem informações detalhadas sobre as manutenções realizadas (data, peças trocadas, serviços realizados, condições de segurança do equipamento e nome do profissional qualificado)?</t>
    </r>
  </si>
  <si>
    <t>6.1.9</t>
  </si>
  <si>
    <t>A empresa utiliza uma sistemática remota de Avaliação (via software de acompanhamento, sistema via de satélite) que permita acompanhamento pelas equipes Onshore de forma ágil para tratamento ou verificação imediata de problemas?</t>
  </si>
  <si>
    <t>Sistema utilizado
Tratamentos críticos realizados</t>
  </si>
  <si>
    <t>6.1.10</t>
  </si>
  <si>
    <t>a) O plano de manutenção e inspeção inclui os elementos críticos de segurança operacional?
b) Todos os equipamentos e sistemas críticos de segurança operacional possuem procedimentos documentados de inspeção e manutenção?
c) Estão sendo realizadas dentro do prazo estabelecido?
d) Inclui os equipamentos da NORMAM 01, anexo 15C, item 22?
e) A empresa  realiza uma análise dos resultados de testes e desempenho para todos os equipamentos e sistemas críticos?</t>
  </si>
  <si>
    <t>Procedimento documentado;
Registros de manutenção;
Relação de equipamentos críticos;
Verificar se manutenção programada está sendo cumprida.</t>
  </si>
  <si>
    <t>6.1.11</t>
  </si>
  <si>
    <t xml:space="preserve">Existe uma sistemática implementada  de calibração e ajustes de equipamentos críticos? 
</t>
  </si>
  <si>
    <t>Procedimentos documentados;
Registros  dos certificados;
Os certificados estão disponíveis e dentro da validade?
Existe registro do erro aceitável conforme estabelecidos em padrões e ou manuais técnicos dos fabricantes ?</t>
  </si>
  <si>
    <t>6.1.12</t>
  </si>
  <si>
    <t>As manutenções e inspeções do sistema DP estão programadas e sendo realizadas?</t>
  </si>
  <si>
    <t>Registros de inspeção e manutenção
Plano de manutenção</t>
  </si>
  <si>
    <t>6.1.13</t>
  </si>
  <si>
    <t>As manutenções preventivas e corretivas, quando aplicáveis, dos guinchos e equipamentos de amarração e fundeio são realizadas periodicamente e estes equipamentos estão em bom estado de conservação?</t>
  </si>
  <si>
    <t>Constatação visual
Registros de inspeções e manutenção
Manual existente Os manuais atendem os seguintes requisitos abaixo?
a) estão escritos na língua portuguesa
b) são ilustrados, objetivos, claros, sem ambigüidades e em linguagem de fácil compreensão;
c) possuem sinais ou avisos referentes à segurança realçados; e
d)estão disponíveis a todos os usuários nos locais de trabalho.</t>
  </si>
  <si>
    <t>6.1.14</t>
  </si>
  <si>
    <t>As manutenções preventivas e corretivas, quando aplicáveis, dos motores auxiliares, principal, geradores, compressores, sistemas de óleo diesel, lubrificante, bombas de incêndio, sistema de governo, água de resfriamento, serviços gerais, esgoto, lastro e sensores de PPM são realizadas periodicamente?</t>
  </si>
  <si>
    <t>Constatação visual
Registros de inspeções e de manutenção</t>
  </si>
  <si>
    <t>6.1.15</t>
  </si>
  <si>
    <t>As manutenções preventivas e corretivas, quando aplicáveis, dos equipamentos de movimentação de carga, peação, reboque e de manuseio de âncoras constam de um plano de manutenção, sendo realizadas periodicamente?</t>
  </si>
  <si>
    <t>Constatação visual
Registros de manutenção</t>
  </si>
  <si>
    <t>6.1.16</t>
  </si>
  <si>
    <t>Os geradores de emergência, seus meios de partida e parada, painéis de alimentação, estão operacionais e funcionais e com as manutenções realizadas e programadas?</t>
  </si>
  <si>
    <t>Constatação visual
Registro de inspeção, testes e manutenção</t>
  </si>
  <si>
    <t>6.1.17</t>
  </si>
  <si>
    <t xml:space="preserve">a) Os equipamentos de ventilação e exaustão para ambientes fechados (praça de máquinas, acomodações, cozinha, etc.) e os dispositivos de fechamento estão operacionais, com manutenções em dia e com certificados? </t>
  </si>
  <si>
    <t>Constatação visual
Registros de inspeção e manutenção
PMOC</t>
  </si>
  <si>
    <t>6.1.18</t>
  </si>
  <si>
    <t>A empresa define os equipamentos elétricos críticos, geradores e painéis elétricos principais que devem possuir grau de proteção contra penetração de água?
b) Circuitos elétricos estão organizados e isolados de maneira segura?</t>
  </si>
  <si>
    <t>Identificação do grau de proteção no equipamento (IP);
Lista de equipamentos da empresa</t>
  </si>
  <si>
    <t>6.1.19</t>
  </si>
  <si>
    <t>Os maquinários e ferramentas manuais utilizados a bordo possuem sinalização de advertência de segurança e proteção física, conforme estabelecido na NR-12, NR-34 e manuais dos clientes e está evidenciado programa de inspeção destes maquinários?</t>
  </si>
  <si>
    <t>Constatação visual.</t>
  </si>
  <si>
    <t>6.1.20</t>
  </si>
  <si>
    <t>A empresa sistematizou e implementou verificações periódicas da fixação e integridade de pisos gradeados e das luminárias, garantindo que não haja falhas nestes materiais?</t>
  </si>
  <si>
    <t>Constatação visual, registros de inspeções ao longo do ciclo</t>
  </si>
  <si>
    <t>6.1.21</t>
  </si>
  <si>
    <t>As inspeções e manutenções dos cabos e acessório são feitas regularmente por profissionais em conformidade com o requerido nas Normas e os registros estão disponíveis?</t>
  </si>
  <si>
    <t>Procedimento documentado;
Registro de inspeções.</t>
  </si>
  <si>
    <t>6.1.22</t>
  </si>
  <si>
    <t>a) A empresa possui e implementou sistemática de comunicação imediata à base (gerências Onshore) e ao cliente quando de defeitos de equipamentos críticos ou necessidade de manutenção não planejada destes equipamentos?
b) A empresa possui sistemas de redundância que garanta funcionamento seguro da embarcação nas falhas destes equipamentos críticos?</t>
  </si>
  <si>
    <t>Procedimento documentado;
Comunicação Terra-bordo;
Registros;
Constatação visual.</t>
  </si>
  <si>
    <t>6.1.23</t>
  </si>
  <si>
    <t>Existe procedimento definindo que os equipamentos e acessórios desativados, temporariamente fora de operação ou não utilizados constantemente (ex: equipamentos de emergência, salvatagem, movimentação de cargas), estão cobertos pelo plano de manutenção, visando futura operação de forma segura?</t>
  </si>
  <si>
    <t>Procedimento documentado;
Registros;
Constatação visual.</t>
  </si>
  <si>
    <t>ELEMENTO 07 - GESTÃO DE MUDANÇAS</t>
  </si>
  <si>
    <t>Mudança de Tecnologias/Processos/Equipamentos/Pessoas</t>
  </si>
  <si>
    <t>7.1.1</t>
  </si>
  <si>
    <t>A empresa possui procedimentos e registros de gestão de mudanças em operações, processos, instalações, equipamentos, pessoas e tecnologias.</t>
  </si>
  <si>
    <r>
      <t xml:space="preserve">Procedimento;
Relação de todos os registros de mudanças;
Avaliação de mudanças em campo;
Sistemática de comunicação aos interessados;
Verificar a realização de treinamentos mapeados na GM;
Verificar a implementação das ações;
As mudanças foram aprovadas por liderança designada e seus registros estão disponíveis, conforme procedimento?
Evidenciar que a gestão de mudanças serve de gatilho para atualização de procedimentos, análises de risco, manuais técnicos;
A liderança da empresa monitora e acompanha o status da implementação das mudanças na base e a bordo?
</t>
    </r>
    <r>
      <rPr>
        <b/>
        <sz val="8"/>
        <rFont val="Arial"/>
        <family val="2"/>
      </rPr>
      <t>OBS.:</t>
    </r>
    <r>
      <rPr>
        <b/>
        <sz val="8"/>
        <color indexed="10"/>
        <rFont val="Arial"/>
        <family val="2"/>
      </rPr>
      <t xml:space="preserve"> </t>
    </r>
    <r>
      <rPr>
        <sz val="8"/>
        <rFont val="Arial"/>
        <family val="2"/>
      </rPr>
      <t>A empresa aplica gestão de mudanças quando há alteração na frota?</t>
    </r>
  </si>
  <si>
    <t>7.1.2</t>
  </si>
  <si>
    <t xml:space="preserve">a) Para todas as mudanças realizadas na empresa, foram realizadas as avaliações de risco?                                                                                                              
</t>
  </si>
  <si>
    <t>Relação de todas as mudanças, com registros da avaliação de riscos e aprovação por liderança competente</t>
  </si>
  <si>
    <t>7.1.3</t>
  </si>
  <si>
    <t>A gestão de mudanças na empresa identifica todas as pessoas afetadas pela mudança e garante que as mesmas tenham conhecimento e entendimento das alterações?</t>
  </si>
  <si>
    <t>Lista de pessoas afetadas na gestão de mudanças e entrevista com pessoal</t>
  </si>
  <si>
    <t>7.1.4</t>
  </si>
  <si>
    <t>A gestão de mudanças na empresa identifica todos os treinamentos necessários para a realização das mudanças e os mesmos foram realizados?</t>
  </si>
  <si>
    <t>Lista de pessoas afetadas na gestão de mudanças, registros de treinamentos e entrevista com pessoal</t>
  </si>
  <si>
    <t>7.1.5</t>
  </si>
  <si>
    <t>A gestão de mudança de pessoas contempla: mudança de função, alteração de área em que o funcionário está lotado, alteração de atuação da embarcação, substituição de funções críticas de SMS que foram mapeados,  abrangendo pelo menos: 
I) plano de emergência;
II) padrões de execução da atividade que irá exercer;
III) histórico dos principais acidentes ocorridos na instalação/atividade?
IV) treinamentos ou retreinamentos relacionados à mudança.</t>
  </si>
  <si>
    <t>Procedimento documentado
Registros de mudanças</t>
  </si>
  <si>
    <t>7.1.6</t>
  </si>
  <si>
    <t>A gestão de mudanças na empresa identifica todos os procedimentos documentados e manuais que precisam ser atualizados?</t>
  </si>
  <si>
    <t>Lista de mudanças realizadas e procedimentos documentados alterados</t>
  </si>
  <si>
    <t>7.1.7</t>
  </si>
  <si>
    <t>Toda modificação de equipamento crítico (ex: DP, integridade da embarcação, equipamentos de movimentação de carga, motores, tanques, sistemas de emergência, etc.) são precedidas de gestão de mudanças devidamente aplicada?</t>
  </si>
  <si>
    <t>Lista de modificações de equipamentos críticos; visita a bordo; registros de mudança</t>
  </si>
  <si>
    <t>7.1.8</t>
  </si>
  <si>
    <t>São avaliados os riscos da mudança quando da solicitação de cessão de embarcações entre unidades ou gerências da Petrobras considerando a atividade, local de realização e dos procedimentos da unidade ou gerência requisitante?</t>
  </si>
  <si>
    <t>Registros de mudanças
Estudos e aprovações formalizadas</t>
  </si>
  <si>
    <t>7.1.9</t>
  </si>
  <si>
    <t>a) A liderança da empresa monitora e acompanha o status da implementação das mudanças na base e a bordo?                                
b)Toda mudança não realizada dentro do prazo é reavaliada, revalidada e aprovada?</t>
  </si>
  <si>
    <t>Registros de acompanhamento; registros de mudanças</t>
  </si>
  <si>
    <t>7.1.10</t>
  </si>
  <si>
    <t>A empresa aplica gestão de mudanças quando há alteração na frota ?</t>
  </si>
  <si>
    <t>Registros de acompanhamento; registros de mudanças envolvendo as embarcações novas no último ciclo</t>
  </si>
  <si>
    <t>7.1.11</t>
  </si>
  <si>
    <t>Na ocasião de acesso de novos tripulantes nas embarcações (na admissão ou mudança de embarcação ou na mudança de função), são realizadas as gestões de mudanças de pessoas?</t>
  </si>
  <si>
    <t>Registros de mudanças e entrevistas</t>
  </si>
  <si>
    <t>7.1.12</t>
  </si>
  <si>
    <t>A empresa possui software ou programa informatizado para execução das gestões de mudança na frota e na base?</t>
  </si>
  <si>
    <t>Software com registros de mudanças nas embarcações e na frota</t>
  </si>
  <si>
    <t>7.1.13</t>
  </si>
  <si>
    <t>Para todas as mudanças na organização Onshore ("base"), a empresa garante que os níveis de pessoal, competência e experiência são mantidos para que não haja deterioração na supervisão e na gestão dos processos críticos?</t>
  </si>
  <si>
    <t>Lista de mudanças realizadas na organização no último ciclo, entrevista com pessoas, apresentação do currículo dos novos designados, registros de mudança</t>
  </si>
  <si>
    <t>7.1.14</t>
  </si>
  <si>
    <t>Os procedimentos de mudança da empresa, prevêem o aprendizado com as mudanças realizadas nos projetos de novas embarcações ou aquisições de embarcações?</t>
  </si>
  <si>
    <t>Procedimento documentado e registros de mudança</t>
  </si>
  <si>
    <t>ELEMENTO 08 - AQUISIÇÃO DE BENS E SERVIÇOS</t>
  </si>
  <si>
    <t>Aquisição de Bens e Serviços</t>
  </si>
  <si>
    <t>8.1.1</t>
  </si>
  <si>
    <t xml:space="preserve">A empresa possui sistemática de auditorias periódicas de todos os fornecedores de bens e serviços, considerando aspectos de SMS, de segurança operacional e legislação?
</t>
  </si>
  <si>
    <t>Procedimento documentado;                                      
Relação de empresas contratadas/subcontratadas com respectivas notas ou conceitos de avaliação;                                                                         
Relatórios de Auditorias em fornecedores.</t>
  </si>
  <si>
    <t>8.1.2</t>
  </si>
  <si>
    <t>A empresa realiza pré-qualificação de fornecedores e avalia a competência técnica, habilitações e qualificação dos profissionais e fornecedores contratados que executarão serviços críticos a bordo? 
Obs: Exemplos de serviços e bens críticos: movimentação de cargas, motores, propulsores, integridade, sistemas DP, equipamentos de emergência e segurança, integridade, elétrica, tubulações, produtos perigosos, movimentação de combustíveis, ferramentas e outros que possam provocar acidentes graves.</t>
  </si>
  <si>
    <t>Relação dos fornecedores contratados ao longo do ciclo</t>
  </si>
  <si>
    <t>8.1.3</t>
  </si>
  <si>
    <t xml:space="preserve">Todos os serviços e bens contratados ao longo do ciclo anual, em especial os serviços e bens críticos foram junto a fornecedores devidamente aprovados na pré-qualificação da empresa marítima? </t>
  </si>
  <si>
    <t>Relação dos serviços críticos contratados ao longo do ciclo
Relatório de auditorias</t>
  </si>
  <si>
    <t>8.1.4</t>
  </si>
  <si>
    <t>Para todos os serviços realizados ao longo do ciclo anual, todos os fornecedores de bens e serviços e seus respectivos profissionais estavam devidamente regularizados nos órgãos de controle e legalmente habilitados (PLH) conforme Normas Regulamentadoras?</t>
  </si>
  <si>
    <t>8.1.5</t>
  </si>
  <si>
    <t>Nos contratos firmados entre a empresa marítima e seus fornecedores, estão estabelecidos requisitos de qualidade, aceitação, conformidade legal, formas de fiscalização da contratante e responsabilidade de SMS e Segurança Operacional?</t>
  </si>
  <si>
    <t xml:space="preserve">Relação dos serviços e bens
Contratos </t>
  </si>
  <si>
    <t>8.1.6</t>
  </si>
  <si>
    <t>A gestão de base e equipe de bordo efetivamente fiscalizam a execução de serviços e aquisição de bens?</t>
  </si>
  <si>
    <t>Registros de fiscalização
Entrevistas a bordo</t>
  </si>
  <si>
    <t>8.1.7</t>
  </si>
  <si>
    <t>A empresa possui sistemática para avaliar, periodicamente, o atendimento aos requisitos de SMS e de segurança operacional, além das exigências legais, dos fornecedores de bens e serviços adquiridos?  São avaliados as questões de prestação de serviço em DP e o correto levantamento de equipamentos críticos existentes ? As empresas estão em dia com suas certificações ?</t>
  </si>
  <si>
    <t>Procedimento documentado
Avaliação do Fornecedor
Auditoria no Fornecedor
Verificar levantamento de equipamentos críticos
Verificar Check list importantes para verificação de DP;
Verificar certificações atualizadas.</t>
  </si>
  <si>
    <t>8.1.8</t>
  </si>
  <si>
    <t>A empresa possui sistematica implementada para avaliação/aprovação dos serviços executados pelos seus fornecedores?</t>
  </si>
  <si>
    <t>Procedimento documentado
Avaliação do Fornecedor
Auditoria no Fornecedor</t>
  </si>
  <si>
    <t>8.1.9</t>
  </si>
  <si>
    <t xml:space="preserve">A empresa marítima monitora e analisa o desempenho de qualidade, performance técnica e de Segurança dos fornecedores?
</t>
  </si>
  <si>
    <t>a) Sistemática de reconhecimento;
b) No caso de desempenho aquém do estabelecido pela empresa marítima, ações são tomadas?  Exemplo de desempenho abaixo do adequado: taxa de acidentes/incidentes fora dos limites, quebras de motores devido serviços mal executados.
c) Registros de monitoramento e análise de desempenho de fornecedores.</t>
  </si>
  <si>
    <t>8.1.10</t>
  </si>
  <si>
    <t>Considerando o caso em que uma empresa opera uma embarcação de outra empresa, ou que a EBN recebe uma prestação de serviço em sua embarcação:
a) A contratação prevê ações de SMS entre as empresas?
b) A matriz de responsabilidades entre as empresas está definida de forma clara e implementada à bordo?
c) Os procedimentos estão alinhados?
d) Há periodicamente uma análise?
e) Existe uma comunicação, em um linguajar apropriado, e a acessibilidade às Políticas, padrões e objetivos de SMS?</t>
  </si>
  <si>
    <t>Procedimentos documentados
Matriz de responsabilidades
Contratos
Acordos firmados
Termos de compromissos
Work Agreement
Bridge Documents (muito importante avaliar este requisito, pois deve reger a relação entre as empresa)</t>
  </si>
  <si>
    <t>8.1.11</t>
  </si>
  <si>
    <t>Na contração de bem ou serviço, a empresa:
a) Prevê ações de SMS?
b) Os procedimentos estão alinhados?
c) Há periodicamente uma análise?
d) Existe uma comunicação, em um linguajar apropriado, e a acessibilidade às Políticas, padrões e objetivos de SMS incluindo os subcontratados?</t>
  </si>
  <si>
    <t>Procedimentos documentados
Matriz de responsabilidades
Contratos
Ordem de serviço
Acordos firmados
Termos de compromissos</t>
  </si>
  <si>
    <t>ELEMENTO 09 - GESTÃO DE RECURSOS HUMANOS</t>
  </si>
  <si>
    <t xml:space="preserve"> Recrutamento e Gerenciamento de Pessoal da Base </t>
  </si>
  <si>
    <t>9.1.1</t>
  </si>
  <si>
    <t>A empresa implementou sistema de recrutamento de pessoas de tal forma que candidatos a posições chave na base da empresa possuam as qualificações, competência e experiência apropriadas para o cargo?</t>
  </si>
  <si>
    <t>Procedimento de recrutamento                   
Registros de aplicação do processo de recrutamento para posições chave (ex: gerente de operação, SMS, manutenção, DP Authority, etc.)</t>
  </si>
  <si>
    <t>9.1.2</t>
  </si>
  <si>
    <t xml:space="preserve">Existe sistemática implementada de familiarização?
Exemplos: marinheiros e oficiais.
</t>
  </si>
  <si>
    <t>a) procedimento da sistemática;
b) registros de familiarização.</t>
  </si>
  <si>
    <t>9.1.3</t>
  </si>
  <si>
    <t>A empresa implementou um sistema formal de avaliação de pessoal que garante que os colaboradores sejam submetidos a uma avaliação de desempenho pelo menos anualmente, para as questões de SMS e segurança da operação?</t>
  </si>
  <si>
    <t>Procedimento documentado, registros de avaliação</t>
  </si>
  <si>
    <t>9.1.4</t>
  </si>
  <si>
    <t>Os profissionais da empresa  tem participação em fóruns, seminários e conferências da indústria, em busca de conhecimento das melhores práticas  do mercado marítimo?</t>
  </si>
  <si>
    <t>Registros de participação.</t>
  </si>
  <si>
    <t>9.1.5</t>
  </si>
  <si>
    <t xml:space="preserve">A empresa possui uma estrutura de Gestão de SMS,  para implementar e manter seu sistema de gestão?
</t>
  </si>
  <si>
    <t>a) Organograma no qual todo o setor de SMS é organizado;
b) Papéis e responsabilidades dos colaboradores em seus níveis hierárquicos;</t>
  </si>
  <si>
    <t>Recrutamento e Gerenciamento de Pessoal de Bordo</t>
  </si>
  <si>
    <t>9.2.1</t>
  </si>
  <si>
    <t>A empresa possui e implementou processo de seleção, recrutamento e promoção de pessoal de bordo?</t>
  </si>
  <si>
    <t>Procedimento documentado;
Registros.</t>
  </si>
  <si>
    <t>9.2.2</t>
  </si>
  <si>
    <t>Todo o pessoal de bordo possui certificados válidos em conformidade com Flag State e autoridades marítimas?</t>
  </si>
  <si>
    <t>Procedimento documentado;
Registros;
Certificados.</t>
  </si>
  <si>
    <t>9.2.3</t>
  </si>
  <si>
    <t>a) Há sistemática de familiarização formal para os colaboradores novos de embarcação ou de mudança de função? 
b) Para estes colaboradores, está estruturado um programa de familairzação em suas atribuições em SMS?</t>
  </si>
  <si>
    <t>9.2.4</t>
  </si>
  <si>
    <t>A empresa implementou um sistema formal de avaliação de pessoal garante que os profissionais de bordo sejam submetidos a avaliações de desempenho pelo menos anualmente, em especial quanto a sua atuação em SMS?</t>
  </si>
  <si>
    <t>9.2.5</t>
  </si>
  <si>
    <t xml:space="preserve">O quadro de profissionais atuantes em manutenção de equipamentos de movimentação de cargas é qualificado e/ou habilitado?
</t>
  </si>
  <si>
    <t>Registros do quadro de profissionais;
Evidência de capacitação e qualificação;</t>
  </si>
  <si>
    <t>9.2.6</t>
  </si>
  <si>
    <t xml:space="preserve">O quadro de profissionais atuantes em inspeção/ certificação de equipamentos de movimentação de cargas é qualificado e/ou habilitado?
</t>
  </si>
  <si>
    <t>9.2.7</t>
  </si>
  <si>
    <t>Os profissionais atuantes em manutenção de equipamentos de movimentação de cargas são capacitados quanto aos riscos e perigos relacionados a atuação?</t>
  </si>
  <si>
    <t>9.2.8</t>
  </si>
  <si>
    <t>Os profissionais atuantes em inspeção de equipamentos de movimentação de cargas são capacitados quanto aos riscos e perigos relacionados a atuação?</t>
  </si>
  <si>
    <t>Registros do quadro de profissionais;
Evidência de capacitação e qualificação.</t>
  </si>
  <si>
    <t xml:space="preserve"> Treinamentos</t>
  </si>
  <si>
    <t>9.3.1</t>
  </si>
  <si>
    <t xml:space="preserve">A empresa possui sistemática implementada que garanta que seus profissionais são treinados na operação em seus locais de trabalho? </t>
  </si>
  <si>
    <t>Verificação no campo;
Sistema Tutoria;
Evidência de treinamento nas instruções de trabalho.</t>
  </si>
  <si>
    <t>9.3.2</t>
  </si>
  <si>
    <t xml:space="preserve">A empresa possui uma sistemática implementada que garanta que os  tripulantes da empresa que operam equipamentos de posicionamento dinâmico (DP) estão devidamente qualificados e habilitados, conforme normas IMCA, IMO e de autoridades marítimas, incluindo cursos de reciclagem?
</t>
  </si>
  <si>
    <r>
      <rPr>
        <sz val="8"/>
        <color rgb="FFFF0000"/>
        <rFont val="Arial"/>
        <family val="2"/>
      </rPr>
      <t>Procedimento documentado</t>
    </r>
    <r>
      <rPr>
        <sz val="8"/>
        <color rgb="FF000000"/>
        <rFont val="Arial"/>
        <family val="2"/>
      </rPr>
      <t xml:space="preserve">;
Certificado de curso;
</t>
    </r>
    <r>
      <rPr>
        <i/>
        <sz val="8"/>
        <color rgb="FF000000"/>
        <rFont val="Arial"/>
        <family val="2"/>
      </rPr>
      <t>Log Book.</t>
    </r>
  </si>
  <si>
    <t>9.3.3</t>
  </si>
  <si>
    <t>O pessoal envolvido com operação do sistema de posicionamento dinâmico está familiarizado com as suas atribuições específicas e com todo o arranjo, instalações, equipamentos, procedimentos e características da embarcação e das rotinas e situações de emergência, conforme contido na publicação IMCA M 117 e no item 1.5 da regra I/14 da Convenção STCW/1978, como emendada?</t>
  </si>
  <si>
    <t>Certificado de capacitação;
Entrevista.</t>
  </si>
  <si>
    <t>9.3.4</t>
  </si>
  <si>
    <t>A empresa possui procedimento documentado de avaliação de eficácia dos treinamentos realizados, incluindo tempo pós treinamento para verificação, avaliação pelo superior imediato se o treinamento foi efetivo, dentre outros?</t>
  </si>
  <si>
    <t xml:space="preserve">Registros de avaliação (não considerar apenas avaliação de reação para atendimento ao requisito)
Plano de Ação
Entrevistas com a força de trabalho para verificar se as pessoas capacitadas, treinadas e conscientizadas têm conhecimentos dos perigos, ações de controles, normas e procedimentos documentado para realizar o trabalho adotando medidas de SMS e segurança operacional.  </t>
  </si>
  <si>
    <t>9.3.5</t>
  </si>
  <si>
    <t>a) A empresa possui equipe de suporte psicológico, que executa avaliação do estado psicológico e emocional no admissional/periódico que torna apto o trabalhador para as atividades a bordo das embarcações?
b) Existe sistemática para apoio dos trabalhadores quando estão com pressões psicológicas devido a atividade ou vindas de situações externas (família etc)?
c) Existe sistemática de avaliação dos trabalhadores das embarcações pós-acidentes?</t>
  </si>
  <si>
    <t>Avaliação psicológica periódica
ASO admissional e periódico contemplando exame psicológico
Procedimentos documentados, Fluxos de Comunicação
Registros
Entrevistas com a força de trabalho</t>
  </si>
  <si>
    <t>Simuladores</t>
  </si>
  <si>
    <t>9.4.1</t>
  </si>
  <si>
    <t>a) O programa de treinamentos de Comandantes, Imediatos e Oficiais contempla o uso de simuladores de operações marítimas e envolve o uso de DP? 
b) Está estabelecido uma reciclagem periódica em simuladores para os Comandantes e Imediatos?</t>
  </si>
  <si>
    <t>Procedimento documentado;
Constatação visual;
Registros de Treinamento;
Entrevistas com a força de trabalho.
São exemplos de simuladores: SIAGRA, SINDIMAR, outros.
Obs.:Podem ser substituídos por treinamentos práticos (IMCA 117).
Verificar:
a) Se inclui treinamentos de atracação, desatracação, aproximação em diversos portos e instalações marítimas, padrões de manobra da Petrobras (Guia de Operação entre Embarcações e Unidades Marítimas) e padrões de manobras da empresa.
b) Registros de Treinamento</t>
  </si>
  <si>
    <t>9.4.2</t>
  </si>
  <si>
    <t>a) Entre a admissão e o início das atividades de um novo colaborador, em movimentações internas e periodicamente, o uso de simuladores de operações marítimas é uma das formas de avaliação dos Comandantes, Imediatos e Pilotos? 
b) Existe sistemática de reciclagem periódica dos treinamentos realizados nos simuladores?</t>
  </si>
  <si>
    <r>
      <rPr>
        <sz val="8"/>
        <color rgb="FF000000"/>
        <rFont val="Arial"/>
        <family val="2"/>
      </rPr>
      <t xml:space="preserve">Procedimento documentado;
Matriz de Treinamento;
Registros de Treinamento;
</t>
    </r>
    <r>
      <rPr>
        <sz val="8"/>
        <color rgb="FFFF0000"/>
        <rFont val="Arial"/>
        <family val="2"/>
      </rPr>
      <t xml:space="preserve">Entrevistas com a força de trabalho.
</t>
    </r>
    <r>
      <rPr>
        <sz val="8"/>
        <color rgb="FF000000"/>
        <rFont val="Arial"/>
        <family val="2"/>
      </rPr>
      <t xml:space="preserve">
Verificar: se o comandante e quaisquer oficiais responsáveis pela condução deste tipo de embarcação, com menos de 2 anos de experiência, estão sem treinamento formal, ou se o tipo de operação / manobra é novo para eles.</t>
    </r>
  </si>
  <si>
    <t xml:space="preserve"> Gestão de Recursos Humanos</t>
  </si>
  <si>
    <t>9.5.1</t>
  </si>
  <si>
    <t>Estão disponíveis formas de entretenimento para a tripulação e meios de comunicação disponíveis da tripulação com a família?</t>
  </si>
  <si>
    <t>Televisão, rádio, jogos, jornais, revistas, livros, internet, etc.</t>
  </si>
  <si>
    <t>9.5.2</t>
  </si>
  <si>
    <t>A empresa possui e implementou sistemática de acompanhamento de rotatividade de pessoal, com indicadores, metas e gestão de SMS sobre este tema?</t>
  </si>
  <si>
    <t>Procedimento documentado;
Entrevistas de desligamento;
Registros;
Indicadores;
Plano de Ação.</t>
  </si>
  <si>
    <t>Fatores Humanos</t>
  </si>
  <si>
    <t>9.6.1</t>
  </si>
  <si>
    <t>a) A empresa estabelece uma sistemática para implementação de um programa de Fatores Humanos na empresa, prevendo as dimensões desta matéria no campo Tecnológico, Ambiental, Organizacional e de Fatores Individuais?
b) A empresa possui algum especialista em Fatores Humanos que participa de fóruns externos sobre o tema?
c) A empresa tem estabelecido uma sistemática de treinamento em Fatores Humanos?
d) A empresa tem utilizado técnicas de investigação de acidentes/incidentes voltado para as questões de Fatores Humanos?</t>
  </si>
  <si>
    <t>Programa de Fatores Humanos;.
Treinamentos realizados sobre o tema:
Evidência de especialista na área ou terceirizado que presta este serviço de uma forma sistematizada);
Investigação e análise de acidentes contemplando fatores humanos.</t>
  </si>
  <si>
    <t>9.6.2</t>
  </si>
  <si>
    <t>A empresa possui sistemática implementada que garanta que os oficiais de náutica e máquinas, formados a partir de 2022, já possuem  anotação do curso CRM (Crew Resource Management) no Certificado de Competência, referência STCW. EGPO (Curso de Gerenciamento de Passadiço para Oficiais)</t>
  </si>
  <si>
    <t>Apresentação de Certificado de Competência com esta anotação.</t>
  </si>
  <si>
    <t>ELEMENTO 10 - GESTÃO DA INFORMAÇÃO &amp; COMUNICAÇÃO</t>
  </si>
  <si>
    <t>Controle de Documentos</t>
  </si>
  <si>
    <t>10.1.1</t>
  </si>
  <si>
    <r>
      <t>A empresa  evidenciou que atende o item 1.6</t>
    </r>
    <r>
      <rPr>
        <i/>
        <sz val="8"/>
        <rFont val="Arial"/>
        <family val="2"/>
      </rPr>
      <t xml:space="preserve"> - Da prestação de informação digital e digitalização de documentos</t>
    </r>
    <r>
      <rPr>
        <sz val="8"/>
        <rFont val="Arial"/>
        <family val="2"/>
      </rPr>
      <t>, em conformidade com a Norma Regulamentadora NR-1?</t>
    </r>
  </si>
  <si>
    <t>Registros apresentados ao longo do ciclo e auditoria, em conformidade com o item 1.6 da NR-1</t>
  </si>
  <si>
    <t>10.1.2</t>
  </si>
  <si>
    <t xml:space="preserve">A empresa possui sistema e procedimento implementado de controle de documentos de gestão de SMS (ex: Documentos internos e documentos externos; Rastreabilidade entre os anexos e os formulários aos seus respectivos procedimentos de origem; Distribuição dos procedimentos via cópias controladas e não controladas; Histórico e periodicidade de revisão dos procedimentos).
</t>
  </si>
  <si>
    <t>Procedimento documentado
Rastreabilidade dos anexos e formulários aos seus respectivos procedimentos documentados
Ausência de falhas entre lista mestra e versões dos procedimentos documentados
Ausência de uso de documentos internos e externos obsoletos
Documentos dentro da validade estabelecida em procedimento documentado</t>
  </si>
  <si>
    <t>10.1.3</t>
  </si>
  <si>
    <t>O manual de operação dos principais equipamentos está disponível a bordo e em idioma entendido por seus usuários (Convenção SOLAS - Parte C - Regra 26)?</t>
  </si>
  <si>
    <t>Procedimentos documentado
Documentos e registros</t>
  </si>
  <si>
    <t>Controle de Registros</t>
  </si>
  <si>
    <t>10.2.1</t>
  </si>
  <si>
    <t>A empresa apresentou sistemas e procedimentos de controle de registros adequado (contendo minimamente identificação, armazenamento, grau de proteção, indexação, retenção, descarte)?</t>
  </si>
  <si>
    <t xml:space="preserve">Registros / Tabelas de controle, indicando: 
a) Identificação (nome dos registros);
b) Armazenamento (local de guarda dos registros); 
c) Proteção (forma de proteção dos registros); 
d) Indexação (forma de ordenação dos registros);
e) Retenção (prazo de guarda dos registros); 
f) Descarte de registros (forma de descarte após concluído o prazo de guarda);
g) Legíveis e preenchidos?
</t>
  </si>
  <si>
    <t>Comunicação</t>
  </si>
  <si>
    <t>10.3.1</t>
  </si>
  <si>
    <t>A empresa possui e implementou a sistemática do "NA DÚVIDA, PARE!", na qual qualquer membro da força de trabalho tem autoridade para interromper operação que avaliar insegura?</t>
  </si>
  <si>
    <t>Procedimento documentado
Registros de comunicação como, por exemplo: Clientes, Comunidades, Órgãos Ambientais, Capitania dos Portos, ANVISA, etc.
Fluxo de comunicação</t>
  </si>
  <si>
    <t>10.3.2</t>
  </si>
  <si>
    <t>A empresa possui Ouvidoria, SAC ou similar, de tal forma que receba e trate informações relacionadas a uns dos temas:  denúncias, elogios, opiniões, sugestões e dúvidas da força de trabalho, contratados, visitantes e demais partes interessadas em relação a segurança ocupacional e operacional?</t>
  </si>
  <si>
    <t>Procedimento documentado
Entrevistas com trabalhadores
Caixas de sugestão
Registros</t>
  </si>
  <si>
    <t>10.3.3</t>
  </si>
  <si>
    <t>A empresa marítima possui prática de realização da "escuta ativa" ou similar, de tal forma a periodicamente comunicar e coletar informações da força de trabalho, visando a melhoria do sistema de gestão da empresa?</t>
  </si>
  <si>
    <t>Entrevistas com trabalhadores
Registros</t>
  </si>
  <si>
    <t>10.3.4</t>
  </si>
  <si>
    <t>A empresa possui e implementa sistemática de comunicar e registrar junto à base operacional da contratada e a fiscalização do cliente, sobre quaisquer panes, falhas na embarcação ou anomalia?</t>
  </si>
  <si>
    <t>Procedimento documentado
Constatação durante operação                     
Ausência de acidentes e incidentes provocados por falhas na comunicação e documentação                                                     
Entrevistas com a força de trabalho</t>
  </si>
  <si>
    <t>ELEMENTO 11 - PREPARAÇÃO E RESPOSTAS À EMERGÊNCIAS</t>
  </si>
  <si>
    <t>Plano de Contingência</t>
  </si>
  <si>
    <t>11.1.1</t>
  </si>
  <si>
    <t xml:space="preserve">A empresa possui uma sistemática implementada para elaboração dos planos de resposta à emergência a partir dos cenários acidentais identificados nas análises de riscos, Normas e Legislação?
</t>
  </si>
  <si>
    <t xml:space="preserve">a)Planos de emergência
b) estar em conformidade com os requisitos legais e corporativos aplicáveis; 
c) considerar os recursos e tecnologias disponíveis; 
d) considerar os impactos sociais, ambientais e econômicos das situações de emergência; 
e) considerar as necessidades dos públicos de interesse relevantes, tais como serviços de emergência e comunidades; 
f) incorporar planos para os diferentes níveis de resposta exigidos (local, regional ou nacional); 
g) planejar os recursos necessários, assim como treinamentos, exercícios simulados, inspeções e auditorias; 
h) arquivar os documentos gerados de acordo com a Política de Segurança da Informação da empresa;
i) gatilhos para sua revisão; 
j) aprendizado com treinamentos, exercícios simulados e situações reais?
</t>
  </si>
  <si>
    <t>11.1.2</t>
  </si>
  <si>
    <t>O modelo de gestão adotado pela empresa marítima é baseado no ICS (Incident Command System)?</t>
  </si>
  <si>
    <t>Plano de emergência alinhado com o modelo do ICS e registros de simulados/situações reais</t>
  </si>
  <si>
    <t>11.1.3</t>
  </si>
  <si>
    <t>Os componentes da EOR (Estrutura Organizacional de Resposta) da empresa, tanto de base, quanto de bordo, estão devidamente treinados nos planos de resposta à emergência da empresa?</t>
  </si>
  <si>
    <t>Registros de treinamento
Entrevistas com a tripulação
Obs.: Não será considerado para atendimento ao requisito, realizações de simulados. 
Fluxograma de comunicação</t>
  </si>
  <si>
    <t>11.1.4</t>
  </si>
  <si>
    <t>O plano de emergência da empresa (quando em contrato com a Petrobras) está alinhado ao Plano de Suporte à Emergência em Embarcações do cliente (PSE)?</t>
  </si>
  <si>
    <t>Registros de treinamento
Entrevistas com a tripulação
Fluxograma de comunicação</t>
  </si>
  <si>
    <t>11.1.5</t>
  </si>
  <si>
    <t>Todas as tripulações estão habilitadas e treinadas para resposta à emergências, para todos os cenários de emergência possíveis de ocorrer a bordo?</t>
  </si>
  <si>
    <t xml:space="preserve">Registros de treinamento
Entrevistas com a tripulação
</t>
  </si>
  <si>
    <t>11.1.6</t>
  </si>
  <si>
    <t>Os planos de emergência da empresa contemplam todas as ações a serem tomadas, para no mínimo os seguintes cenários (mas não limitados a estes): abalroamento, colisão, naufrágio, encalhes alagamento, vazamento, incêndio, emborcamento de botes (resgate e serviço), homem ao mar, acidentes pessoais, acidentes ambientais, emergências médicas, falhas mecânicas, queda de carga, contaminação por alimentos, presença de gases tóxicos, fenômeno de SCCO2, explosão, derivas, dentre outros?</t>
  </si>
  <si>
    <t>Planos de emergência</t>
  </si>
  <si>
    <t>11.1.7</t>
  </si>
  <si>
    <t>A empresa possui equipe de medicina remota, independente da medicina do trabalho, com atendimento 24 horas, para suporte às embarcações, em casos de necessidade?</t>
  </si>
  <si>
    <t xml:space="preserve">Contrato com empresa de tele medicina e registros de atuação.
Obs.: não está incluído neste item, atendimentos voltados para medicina do trabalho. </t>
  </si>
  <si>
    <t>11.1.8</t>
  </si>
  <si>
    <t>A empresa possui e realiza o briefing de segurança, contendo orientações mínimas sobre os riscos existentes, sinalizações, atuações em emergência, comunicação, dentre outros?</t>
  </si>
  <si>
    <t>Lista de presença de briefings, entrevistas com tripulantes e terceiros
briefing realizado com a equipe auditora</t>
  </si>
  <si>
    <t>Simulados e Plano de Verificação</t>
  </si>
  <si>
    <t>11.2.1</t>
  </si>
  <si>
    <r>
      <t xml:space="preserve">a) Estão definidos cronogramas de exercícios simulados para as hipóteses acidentais de emergência, conforme identificado nos planos de emergência de terra (suporte às emergências </t>
    </r>
    <r>
      <rPr>
        <i/>
        <sz val="8"/>
        <rFont val="Arial"/>
        <family val="2"/>
      </rPr>
      <t>offshore</t>
    </r>
    <r>
      <rPr>
        <sz val="8"/>
        <rFont val="Arial"/>
        <family val="2"/>
      </rPr>
      <t>) e de bordo?
b) Os simulados são realizados de modo a garantir que todos cenários mapeados e sua EOR constante no plano de emergência são contemplados em um período pré-estabelecido coerente com a realidade da empresa?</t>
    </r>
  </si>
  <si>
    <t>Cronograma de Simulados
Registros dos simulados
Obs.: Para atendimento pleno ao requisito, a empresa deve demonstrar que todos os cenários identificados e sua EOR passaram por um simulado.</t>
  </si>
  <si>
    <t>11.2.2</t>
  </si>
  <si>
    <t xml:space="preserve">A empresa se utiliza de novas tecnologias digitais para a realização de simulados, recolhimento de óleo, vazamentos, outros, que podem estar trazendo benefícios para os processos? </t>
  </si>
  <si>
    <t>Registros de utilização
Verificação dos novos sistemas de engenharia implantados (não solicitados nos contratos da PETROBRAS)</t>
  </si>
  <si>
    <t>11.2.3</t>
  </si>
  <si>
    <t xml:space="preserve">Os sistemas de detecção, alarmes (audíveis em toda embarcação) e dispositivos de segurança da embarcação estão definidos como críticos e estão operacionais?
</t>
  </si>
  <si>
    <t>Verificação do plano de inspeção e de manutenção preventiva;
Constatação visual;
Teste do sistema;
Registro de comprovação que alarmes são audíveis
Certificados de calibração dos sistemas de detecção.</t>
  </si>
  <si>
    <t>Salvatagem</t>
  </si>
  <si>
    <t>11.3.1</t>
  </si>
  <si>
    <t>A embarcação possui:
a) Tripulação treinada, pronta para uso imediato em todas as situações em que for designada para atuar?
b) Capacidade de colocar o bote resgate na água no tempo especificado pela norma aplicável (Solas cap. III, parte B, regra 14) - 5 minutos?</t>
  </si>
  <si>
    <t>Constatação durante a operação
Registros de treinamento</t>
  </si>
  <si>
    <t xml:space="preserve">       ELEMENTO 12 - ANÁLISE DE ACIDENTES E INCIDENTES E TRATAMENTO DE NÃO-CONFORMIDADES</t>
  </si>
  <si>
    <t>Acidentes, Incidentes, Desvios e Ações Decorrentes</t>
  </si>
  <si>
    <t>12.1.1</t>
  </si>
  <si>
    <t>A empresa possui uma sistemática implementada para registro, classificação, investigação, análise, tratamento e abrangência de eventos não desejados de segurança ocupacional e operacional?</t>
  </si>
  <si>
    <t>Procedimento contemplando, no mínimo: 
- descrição do acidente;
- graduação do acidente;
- composição de equipe de investigação;
- qualificação da equipe de investigação;
- participação do GSSTB;
- de equipes de operação, SMS, manutenção (caso aplicável);
- causas imediatas  descritas;
- causas básicas-raízes descritas;
- pelo menos uma ação para cada causa;
- ações preventivas-corretivas-abrangência;
- as comissões são definidas a partir da classificação da severidade do acidente/potencial do acidente;
- desvios;</t>
  </si>
  <si>
    <t>12.1.2</t>
  </si>
  <si>
    <t>A empresa possui e implementou política de estímulo de relato de desvios, incidentes e acidentes junto à força de trabalho e liderança, não tolerando qualquer tipo de subnotificação?</t>
  </si>
  <si>
    <t>Registro de relatos de desvios e incidentes reportados pela força de trabalho para a base da empresa</t>
  </si>
  <si>
    <t>12.1.3</t>
  </si>
  <si>
    <t>Os participantes das Comissões de Investigação da empresa são devidamente qualificados e treinados em técnicas de investigação de acidentes, incluindo análise de causas raízes e implementação de ações?</t>
  </si>
  <si>
    <t>Listagem do pessoal envolvido;                
Registros de treinamento</t>
  </si>
  <si>
    <t>12.1.4</t>
  </si>
  <si>
    <t>A alta liderança da empresa participa ativamente do processo de investigação de acidentes e incidentes, acompanhando os trabalhos da comissão, aprovando a investigação, realizando visitas aos locais do acidente e reforços na prevenção de repetições na frota?</t>
  </si>
  <si>
    <t>Registros de reuniões, visitas a bordo, mensagens à frota.
Obs.: considera-se como alta liderança: CEO, diretores, presidentes, gerentes gerais.</t>
  </si>
  <si>
    <t>12.1.5</t>
  </si>
  <si>
    <t>A empresa possui e implementou técnicas estruturadas de investigação de acidentes, tais como árvore de eventos, árvore de causas, árvore de falhas e leva em consideração os Fatores Humanos constantes no Report 621 da IOGP?</t>
  </si>
  <si>
    <t>Relatórios com técnicas estruturadas e levando em consideração o Report 621 da IOGP</t>
  </si>
  <si>
    <t>12.1.6</t>
  </si>
  <si>
    <t>a) A empresa possui sistemática de análise de abrangência de acidentes internos e externos, que englobe: recebimento dos informes de acidentes, divulgação, avaliação da abrangência e pertinência das causas e ações de controle, bem como revisão das análises de riscos, planos de manutenção, etc.?</t>
  </si>
  <si>
    <t>Análise de Abrangência
Registros de divulgação
Entrevista com a tripulação
Registros de alertas internos e externos divulgados</t>
  </si>
  <si>
    <t>12.1.7</t>
  </si>
  <si>
    <t>O pessoal de bordo demonstra conhecer os acidentes ocorridos na embarcação, na empresa e os acidentes graves ocorridos em outras embarcações a serviço da Petrobras ou de outras operadoras ?</t>
  </si>
  <si>
    <t>Registros de alertas internos e externos divulgados
Entrevistas com a tripulação
Verificação do conhecimento pela tripulação da importância  das ferramentas de bloqueio, e barreiras de prevenção e mitigação, e as consequências de operação com barreiras degradadas (com lacunas, desvios).
Conhecimento em DTA, alimento separados e armazenados.</t>
  </si>
  <si>
    <t>12.1.8</t>
  </si>
  <si>
    <t>A empresa possui sistemática de identificação e tratamento dos desvios, sejam eles críticos ou sistêmicos, sendo todos os desvios efetivamente tratados?</t>
  </si>
  <si>
    <t>Apresentação da sistemática estabelecida
Desvios descritos corretamente e tratados
Registros com poucos desvios ou desvios em branco, significa sistemática não implementada</t>
  </si>
  <si>
    <t>Não-Conformidades e Ações Decorrentes</t>
  </si>
  <si>
    <t>12.2.1</t>
  </si>
  <si>
    <t>A empresa utiliza sistemática para avaliação da eficácia das ações de tratamento/recomendações a partir dos acidentes/incidentes ocorridos ?</t>
  </si>
  <si>
    <t>Registros da sistemática aplicada</t>
  </si>
  <si>
    <t>12.2.2</t>
  </si>
  <si>
    <t>As lições aprendidas com incidentes e near-misses são usadas para a prevenção de recorrência de acidentes, sendo divulgada para toda a frota pela liderança?</t>
  </si>
  <si>
    <t>Visita a bordo; entrevista com força de trabalho; ausência de repetição de incidentes</t>
  </si>
  <si>
    <t>12.2.3</t>
  </si>
  <si>
    <t>A empresa realiza uma análise economico-financeira através dos valores quantificados dos acidentes e paralisações da frota em decorrência de anomalias?</t>
  </si>
  <si>
    <t>Registros de relatórios, estudos e outros documentos.</t>
  </si>
  <si>
    <t>12.2.4</t>
  </si>
  <si>
    <t>As análises de acidentes e incidentes são discutidos com empresas similares ou associação de empresas?</t>
  </si>
  <si>
    <t>Registros das análises e reuniões</t>
  </si>
  <si>
    <t>12.2.5</t>
  </si>
  <si>
    <t>A empresa possui sistemática de avaliação da qualidade de investigação de acidentes, incidentes e desvios?</t>
  </si>
  <si>
    <t>Sistemática em que avalia a qualidade da apuração de acidentes, tais como cumprimento de prazos, correta classificação e redação de eventos-topo/causas imediatas/causas básicas; ações para cada causa básica identificada; plena implementação das recomendações a bordo</t>
  </si>
  <si>
    <t>ELEMENTO 13 - PROCESSO DE MELHORIA CONTÍNUA</t>
  </si>
  <si>
    <t>Inspeções Internas</t>
  </si>
  <si>
    <t>13.1.1</t>
  </si>
  <si>
    <t>A empresa marítima possui sistemática de realizações inspeções internas em sua frota de embarcações, abrangendo verificação de conformidade legal de itens de SMS e normas marítimas/IMCA/IMO, conformidade de manutenções e perfeita operacionalidade dos equipamentos, assim como verificação de cumprimento dos itens requeridos contratualmente?</t>
  </si>
  <si>
    <t xml:space="preserve">Procedimentos documentados;
Cronograma de inspeções;
Evidência de familiarização.
</t>
  </si>
  <si>
    <t>13.1.2</t>
  </si>
  <si>
    <t>O formato de inspeção da empresa é ao menos de padrão equivalente às inspeções realizadas pelo cliente e/ou órgãos como OCIMF e a empresa compara as inspeções realizadas pelo cliente/certificadores para melhorar seu processo?</t>
  </si>
  <si>
    <t>Procedimentos documentados;
Relatórios de comparação</t>
  </si>
  <si>
    <t>13.1.3</t>
  </si>
  <si>
    <t>O sistema de inspeções da empresa marítima permite o registro, cadastro e controle das constatações até o tratamento de pendências?</t>
  </si>
  <si>
    <t>Procedimentos documentados;
Relatórios</t>
  </si>
  <si>
    <t>13.1.4</t>
  </si>
  <si>
    <t>A gestão da empresa marítima evidencia que realiza análise dos dados de suas inspeções na frota, comparando desempenho de embarcações, para aprimoramento do nível de serviço das embarcações?</t>
  </si>
  <si>
    <t>Auditoria Interna</t>
  </si>
  <si>
    <t>13.2.1</t>
  </si>
  <si>
    <t>A empresa marítima possui sistemáticas de auditorias internas periódicas de gestão de SMS estruturadas, baseadas em requisitos da indústria marítima (ex: ISM Code, OCIMF, ISO/OHSAS, PEOTRAM) com devido tratamento/acompanhamento as eventuais não conformidades?</t>
  </si>
  <si>
    <t>Procedimentos documentados;
Relatórios de auditorias;
Certificados.</t>
  </si>
  <si>
    <t>13.2.2</t>
  </si>
  <si>
    <t>A empresa marítima possui ou contratou equipe estruturada/qualificada para realização das auditorias internas?</t>
  </si>
  <si>
    <t xml:space="preserve">Procedimentos documentados;
Planos de auditoria
Certificados </t>
  </si>
  <si>
    <t>13.2.3</t>
  </si>
  <si>
    <t xml:space="preserve">A empresa possui sistemática implementada para tratamento e acompanhamento das não conformidades identificadas durante as auditorias (exemplos: ISO, PEOTRAM, ISM CODE, Organismos Regulamentadores e fiscalizadores)
</t>
  </si>
  <si>
    <t>Planos de ação;
Procedimentos documentados;
Relatórios;
Atas das reuniões de análise crítica;
Implementação; 
Acompanhamento;
Abrangências.</t>
  </si>
  <si>
    <t>Objetivos, Metas e Programas</t>
  </si>
  <si>
    <t>13.3.1</t>
  </si>
  <si>
    <t>Foram estabelecidos objetivos, indicadores (reativos e proativos) e metas mensuráveis de SMS, eficiência energética e de segurança operacional, com seus respectivos programas, planos de ação para tratamento de indicadores fora da meta?</t>
  </si>
  <si>
    <r>
      <t xml:space="preserve">Objetivos, metas e programas documentados
</t>
    </r>
    <r>
      <rPr>
        <sz val="8"/>
        <color indexed="10"/>
        <rFont val="Arial"/>
        <family val="2"/>
      </rPr>
      <t xml:space="preserve">  </t>
    </r>
  </si>
  <si>
    <t>13.3.2</t>
  </si>
  <si>
    <t>A empresa utiliza métodos de pesquisa de benchmarkings e demonstra procurar boas práticas no mercado, para aprimoramento e implementação em seus processos?</t>
  </si>
  <si>
    <t>Metodologias utilizadas para o estabelecimento e atualização de indicadores.
Registros de benchmarkings.
Implementação de melhorias de benchmarkings.</t>
  </si>
  <si>
    <t>Análise Crítica pela Direção</t>
  </si>
  <si>
    <t>13.4.1</t>
  </si>
  <si>
    <t>a) São gerados planos de ação decorrentes da análise crítica?
b) As ações estão sendo monitoradas e os prazos estabelecidos estão sendo cumpridos?</t>
  </si>
  <si>
    <t>Registro de análise crítica;
Plano de ação;
Acompanhamento dos indicadores reativos e pró-ativos, definidos pelos seus objetivos e metas.</t>
  </si>
  <si>
    <t>13.5.1</t>
  </si>
  <si>
    <t>a) A alta direção da empresa realiza uma análise crítica do Programa de Fatores Humanos implementado na empresa?
b) Está sendo atendido as dimensões voltadas a Tecnologia, Ambiental, Organizacional e Individual ?
c) Os treinamentos realizados sobre Fatores Humanos estão adequados e atingindo seus objetivos ? 
d) Estão sendo implementadas melhorias no processo a partir das análises realizadas ?</t>
  </si>
  <si>
    <t>Programa implementado;
Treinamentos realizados;</t>
  </si>
  <si>
    <t xml:space="preserve">
</t>
  </si>
  <si>
    <t xml:space="preserve">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</si>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</sst>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48" x14ac:knownFonts="1">
    <font>
      <sz val="11"/>
      <color theme="1"/>
      <name val="Calibri"/>
      <family val="2"/>
      <scheme val="minor"/>
    </font>
    <font>
      <sz val="10"/>
      <name val="Arial"/>
      <family val="2"/>
    </font>
    <font>
      <b/>
      <sz val="11"/>
      <color indexed="9"/>
      <name val="Arial"/>
      <family val="2"/>
    </font>
    <font>
      <b/>
      <sz val="10"/>
      <name val="Arial"/>
      <family val="2"/>
    </font>
    <font>
      <b/>
      <sz val="8"/>
      <name val="Arial"/>
      <family val="2"/>
    </font>
    <font>
      <sz val="8"/>
      <name val="Arial"/>
      <family val="2"/>
    </font>
    <font>
      <sz val="8"/>
      <color indexed="10"/>
      <name val="Arial"/>
      <family val="2"/>
    </font>
    <font>
      <b/>
      <sz val="8"/>
      <color indexed="10"/>
      <name val="Arial"/>
      <family val="2"/>
    </font>
    <font>
      <b/>
      <sz val="11"/>
      <name val="Arial"/>
      <family val="2"/>
    </font>
    <font>
      <sz val="8"/>
      <color indexed="30"/>
      <name val="Arial"/>
      <family val="2"/>
    </font>
    <font>
      <i/>
      <sz val="8"/>
      <name val="Arial"/>
      <family val="2"/>
    </font>
    <font>
      <sz val="8"/>
      <color indexed="8"/>
      <name val="Arial"/>
      <family val="2"/>
    </font>
    <font>
      <sz val="8"/>
      <name val="Calibri"/>
      <family val="2"/>
    </font>
    <font>
      <sz val="11"/>
      <name val="Arial"/>
      <family val="2"/>
    </font>
    <font>
      <b/>
      <sz val="14"/>
      <color indexed="10"/>
      <name val="Arial"/>
      <family val="2"/>
    </font>
    <font>
      <sz val="12"/>
      <name val="Arial"/>
      <family val="2"/>
    </font>
    <font>
      <b/>
      <sz val="12"/>
      <name val="Arial"/>
      <family val="2"/>
    </font>
    <font>
      <b/>
      <sz val="9"/>
      <name val="Arial"/>
      <family val="2"/>
    </font>
    <font>
      <strike/>
      <sz val="12"/>
      <name val="Arial"/>
      <family val="2"/>
    </font>
    <font>
      <b/>
      <strike/>
      <sz val="12"/>
      <name val="Arial"/>
      <family val="2"/>
    </font>
    <font>
      <sz val="14"/>
      <name val="Arial"/>
      <family val="2"/>
    </font>
    <font>
      <sz val="11"/>
      <color indexed="10"/>
      <name val="Arial"/>
      <family val="2"/>
    </font>
    <font>
      <sz val="10"/>
      <name val="Arial"/>
      <family val="2"/>
    </font>
    <font>
      <sz val="11"/>
      <name val="Calibri"/>
      <family val="2"/>
      <scheme val="minor"/>
    </font>
    <font>
      <sz val="11"/>
      <color theme="4" tint="-0.249977111117893"/>
      <name val="Arial"/>
      <family val="2"/>
    </font>
    <font>
      <sz val="11"/>
      <color theme="4" tint="-0.249977111117893"/>
      <name val="Calibri"/>
      <family val="2"/>
      <scheme val="minor"/>
    </font>
    <font>
      <sz val="8"/>
      <color rgb="FFFF0000"/>
      <name val="Arial"/>
      <family val="2"/>
    </font>
    <font>
      <b/>
      <sz val="8"/>
      <color rgb="FFFF0000"/>
      <name val="Arial"/>
      <family val="2"/>
    </font>
    <font>
      <sz val="10"/>
      <color rgb="FFFF0000"/>
      <name val="Arial"/>
      <family val="2"/>
    </font>
    <font>
      <b/>
      <sz val="8"/>
      <color theme="0"/>
      <name val="Arial"/>
      <family val="2"/>
    </font>
    <font>
      <sz val="8"/>
      <color rgb="FF000000"/>
      <name val="Arial"/>
      <family val="2"/>
    </font>
    <font>
      <sz val="8"/>
      <color theme="1"/>
      <name val="Arial"/>
      <family val="2"/>
    </font>
    <font>
      <sz val="8"/>
      <color rgb="FF4472C4"/>
      <name val="Arial"/>
      <family val="2"/>
    </font>
    <font>
      <b/>
      <sz val="8"/>
      <color theme="1"/>
      <name val="Arial"/>
      <family val="2"/>
    </font>
    <font>
      <b/>
      <sz val="10"/>
      <color theme="1"/>
      <name val="Arial"/>
      <family val="2"/>
    </font>
    <font>
      <sz val="8"/>
      <color rgb="FF0070C0"/>
      <name val="Arial"/>
      <family val="2"/>
    </font>
    <font>
      <sz val="11"/>
      <color rgb="FFFF0000"/>
      <name val="Arial"/>
      <family val="2"/>
    </font>
    <font>
      <b/>
      <sz val="11"/>
      <color rgb="FFFF0000"/>
      <name val="Arial"/>
      <family val="2"/>
    </font>
    <font>
      <b/>
      <sz val="12"/>
      <color theme="1"/>
      <name val="Arial"/>
      <family val="2"/>
    </font>
    <font>
      <b/>
      <sz val="11"/>
      <color theme="1"/>
      <name val="Calibri"/>
      <family val="2"/>
      <scheme val="minor"/>
    </font>
    <font>
      <b/>
      <sz val="10"/>
      <color theme="0"/>
      <name val="Arial"/>
      <family val="2"/>
    </font>
    <font>
      <sz val="11"/>
      <color theme="1"/>
      <name val="Calibri"/>
      <family val="2"/>
      <scheme val="minor"/>
    </font>
    <font>
      <sz val="8"/>
      <color rgb="FF000000"/>
      <name val="Arial"/>
      <family val="2"/>
    </font>
    <font>
      <sz val="8"/>
      <color rgb="FFFF0000"/>
      <name val="Arial"/>
      <family val="2"/>
    </font>
    <font>
      <b/>
      <sz val="8"/>
      <color rgb="FFFF0000"/>
      <name val="Arial"/>
      <family val="2"/>
    </font>
    <font>
      <sz val="8"/>
      <name val="Arial"/>
      <family val="2"/>
    </font>
    <font>
      <i/>
      <sz val="8"/>
      <color rgb="FF000000"/>
      <name val="Arial"/>
      <family val="2"/>
    </font>
    <font>
      <sz val="11"/>
      <color rgb="FFFF000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indexed="22"/>
        <bgColor indexed="64"/>
      </patternFill>
    </fill>
    <fill>
      <patternFill patternType="solid">
        <fgColor indexed="10"/>
        <bgColor indexed="64"/>
      </patternFill>
    </fill>
    <fill>
      <patternFill patternType="solid">
        <fgColor indexed="13"/>
        <bgColor indexed="64"/>
      </patternFill>
    </fill>
    <fill>
      <patternFill patternType="solid">
        <fgColor indexed="11"/>
        <bgColor indexed="64"/>
      </patternFill>
    </fill>
    <fill>
      <patternFill patternType="solid">
        <fgColor theme="0"/>
        <bgColor indexed="64"/>
      </patternFill>
    </fill>
    <fill>
      <patternFill patternType="solid">
        <fgColor theme="0" tint="-0.249977111117893"/>
        <bgColor indexed="64"/>
      </patternFill>
    </fill>
    <fill>
      <patternFill patternType="solid">
        <fgColor rgb="FF0070C0"/>
        <bgColor indexed="64"/>
      </patternFill>
    </fill>
    <fill>
      <patternFill patternType="solid">
        <fgColor theme="9" tint="-0.249977111117893"/>
        <bgColor indexed="64"/>
      </patternFill>
    </fill>
    <fill>
      <patternFill patternType="solid">
        <fgColor rgb="FFC0C0C0"/>
        <bgColor indexed="64"/>
      </patternFill>
    </fill>
    <fill>
      <patternFill patternType="solid">
        <fgColor theme="1"/>
        <bgColor indexed="64"/>
      </patternFill>
    </fill>
    <fill>
      <patternFill patternType="solid">
        <fgColor indexed="51"/>
        <bgColor indexed="64"/>
      </patternFill>
    </fill>
    <fill>
      <patternFill patternType="solid">
        <fgColor rgb="FFFFC000"/>
        <bgColor indexed="64"/>
      </patternFill>
    </fill>
    <fill>
      <patternFill patternType="solid">
        <fgColor rgb="FFC00000"/>
        <bgColor indexed="64"/>
      </patternFill>
    </fill>
  </fills>
  <borders count="34">
    <border>
      <left/>
      <right/>
      <top/>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dotted">
        <color indexed="64"/>
      </top>
      <bottom style="dotted">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1" fillId="0" borderId="0"/>
    <xf numFmtId="0" fontId="22" fillId="0" borderId="0"/>
    <xf numFmtId="9" fontId="1" fillId="0" borderId="0" applyFont="0" applyFill="0" applyBorder="0" applyAlignment="0" applyProtection="0"/>
    <xf numFmtId="9" fontId="41" fillId="0" borderId="0" applyFont="0" applyFill="0" applyBorder="0" applyAlignment="0" applyProtection="0"/>
  </cellStyleXfs>
  <cellXfs count="256">
    <xf numFmtId="0" fontId="0" fillId="0" borderId="0" xfId="0"/>
    <xf numFmtId="0" fontId="13" fillId="0" borderId="0" xfId="1" applyFont="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0" fontId="23" fillId="0" borderId="0" xfId="0" applyFont="1"/>
    <xf numFmtId="0" fontId="24" fillId="0" borderId="0" xfId="0" applyFont="1" applyAlignment="1" applyProtection="1">
      <alignment horizontal="center" vertical="center" wrapText="1"/>
      <protection locked="0"/>
    </xf>
    <xf numFmtId="0" fontId="25" fillId="0" borderId="0" xfId="0" applyFont="1"/>
    <xf numFmtId="0" fontId="15" fillId="2" borderId="0" xfId="1" applyFont="1" applyFill="1"/>
    <xf numFmtId="0" fontId="15" fillId="0" borderId="0" xfId="1" applyFont="1"/>
    <xf numFmtId="0" fontId="16" fillId="2" borderId="1" xfId="1" applyFont="1" applyFill="1" applyBorder="1" applyAlignment="1">
      <alignment horizontal="center" vertical="center" wrapText="1"/>
    </xf>
    <xf numFmtId="0" fontId="15" fillId="2" borderId="0" xfId="1" applyFont="1" applyFill="1" applyAlignment="1">
      <alignment horizontal="left"/>
    </xf>
    <xf numFmtId="0" fontId="18" fillId="2" borderId="0" xfId="1" applyFont="1" applyFill="1"/>
    <xf numFmtId="164" fontId="16" fillId="2" borderId="1" xfId="1" applyNumberFormat="1" applyFont="1" applyFill="1" applyBorder="1" applyAlignment="1">
      <alignment horizontal="center" vertical="center" wrapText="1"/>
    </xf>
    <xf numFmtId="0" fontId="18" fillId="0" borderId="0" xfId="1" applyFont="1"/>
    <xf numFmtId="0" fontId="16" fillId="2" borderId="0" xfId="1" applyFont="1" applyFill="1" applyAlignment="1">
      <alignment horizontal="center"/>
    </xf>
    <xf numFmtId="0" fontId="16" fillId="2" borderId="0" xfId="1" applyFont="1" applyFill="1" applyAlignment="1">
      <alignment horizontal="right" vertical="center"/>
    </xf>
    <xf numFmtId="164" fontId="18" fillId="2" borderId="0" xfId="1" applyNumberFormat="1" applyFont="1" applyFill="1" applyAlignment="1">
      <alignment horizontal="left" vertical="center" wrapText="1"/>
    </xf>
    <xf numFmtId="164" fontId="19" fillId="2" borderId="0" xfId="1" applyNumberFormat="1" applyFont="1" applyFill="1" applyAlignment="1">
      <alignment horizontal="center" vertical="center" wrapText="1"/>
    </xf>
    <xf numFmtId="0" fontId="16" fillId="2" borderId="0" xfId="1" applyFont="1" applyFill="1" applyAlignment="1">
      <alignment horizontal="right"/>
    </xf>
    <xf numFmtId="0" fontId="16" fillId="0" borderId="0" xfId="1" applyFont="1" applyAlignment="1">
      <alignment horizontal="right"/>
    </xf>
    <xf numFmtId="0" fontId="8" fillId="2" borderId="0" xfId="1" applyFont="1" applyFill="1" applyAlignment="1">
      <alignment horizontal="left" vertical="center"/>
    </xf>
    <xf numFmtId="0" fontId="20" fillId="0" borderId="0" xfId="1" applyFont="1"/>
    <xf numFmtId="0" fontId="13" fillId="2" borderId="0" xfId="1" applyFont="1" applyFill="1"/>
    <xf numFmtId="0" fontId="20" fillId="2" borderId="0" xfId="1" applyFont="1" applyFill="1"/>
    <xf numFmtId="0" fontId="16" fillId="0" borderId="0" xfId="1" applyFont="1"/>
    <xf numFmtId="0" fontId="13" fillId="2" borderId="0" xfId="1" applyFont="1" applyFill="1" applyAlignment="1">
      <alignment horizontal="left" vertical="center"/>
    </xf>
    <xf numFmtId="0" fontId="13" fillId="5" borderId="2" xfId="1" applyFont="1" applyFill="1" applyBorder="1" applyAlignment="1">
      <alignment horizontal="center"/>
    </xf>
    <xf numFmtId="0" fontId="20" fillId="2" borderId="0" xfId="1" applyFont="1" applyFill="1" applyAlignment="1">
      <alignment horizontal="left" vertical="center"/>
    </xf>
    <xf numFmtId="0" fontId="20" fillId="0" borderId="0" xfId="1" applyFont="1" applyAlignment="1">
      <alignment horizontal="left" vertical="center"/>
    </xf>
    <xf numFmtId="9" fontId="16" fillId="0" borderId="0" xfId="1" applyNumberFormat="1" applyFont="1" applyAlignment="1">
      <alignment horizontal="left"/>
    </xf>
    <xf numFmtId="9" fontId="16" fillId="2" borderId="0" xfId="1" applyNumberFormat="1" applyFont="1" applyFill="1" applyAlignment="1">
      <alignment horizontal="justify" vertical="top"/>
    </xf>
    <xf numFmtId="0" fontId="13" fillId="6" borderId="2" xfId="1" applyFont="1" applyFill="1" applyBorder="1" applyAlignment="1">
      <alignment horizontal="center"/>
    </xf>
    <xf numFmtId="0" fontId="13" fillId="7" borderId="2" xfId="1" applyFont="1" applyFill="1" applyBorder="1" applyAlignment="1">
      <alignment horizontal="center"/>
    </xf>
    <xf numFmtId="0" fontId="13" fillId="10" borderId="2" xfId="1" applyFont="1" applyFill="1" applyBorder="1" applyAlignment="1">
      <alignment horizontal="center"/>
    </xf>
    <xf numFmtId="0" fontId="20" fillId="2" borderId="0" xfId="1" applyFont="1" applyFill="1" applyAlignment="1">
      <alignment horizontal="justify" vertical="top"/>
    </xf>
    <xf numFmtId="0" fontId="8" fillId="2" borderId="0" xfId="1" applyFont="1" applyFill="1" applyAlignment="1">
      <alignment horizontal="justify" vertical="top"/>
    </xf>
    <xf numFmtId="0" fontId="13" fillId="2" borderId="0" xfId="1" applyFont="1" applyFill="1" applyAlignment="1">
      <alignment horizontal="justify" vertical="top"/>
    </xf>
    <xf numFmtId="0" fontId="13" fillId="2" borderId="0" xfId="1" applyFont="1" applyFill="1" applyAlignment="1">
      <alignment horizontal="left" vertical="top"/>
    </xf>
    <xf numFmtId="0" fontId="8" fillId="5" borderId="2" xfId="1" applyFont="1" applyFill="1" applyBorder="1" applyAlignment="1">
      <alignment horizontal="center" vertical="center"/>
    </xf>
    <xf numFmtId="0" fontId="13" fillId="2" borderId="0" xfId="1" applyFont="1" applyFill="1" applyAlignment="1">
      <alignment horizontal="left" vertical="top" wrapText="1"/>
    </xf>
    <xf numFmtId="0" fontId="8" fillId="11" borderId="2" xfId="1" applyFont="1" applyFill="1" applyBorder="1" applyAlignment="1">
      <alignment horizontal="center" vertical="center"/>
    </xf>
    <xf numFmtId="0" fontId="8" fillId="6" borderId="2" xfId="1" applyFont="1" applyFill="1" applyBorder="1" applyAlignment="1">
      <alignment horizontal="center" vertical="center"/>
    </xf>
    <xf numFmtId="0" fontId="8" fillId="7" borderId="2" xfId="1" applyFont="1" applyFill="1" applyBorder="1" applyAlignment="1">
      <alignment horizontal="center" vertical="center"/>
    </xf>
    <xf numFmtId="0" fontId="8" fillId="10" borderId="2" xfId="1" applyFont="1" applyFill="1" applyBorder="1" applyAlignment="1">
      <alignment horizontal="center" vertical="center"/>
    </xf>
    <xf numFmtId="0" fontId="13" fillId="0" borderId="0" xfId="1" applyFont="1" applyAlignment="1">
      <alignment horizontal="justify" vertical="top" wrapText="1"/>
    </xf>
    <xf numFmtId="0" fontId="36" fillId="0" borderId="0" xfId="1" applyFont="1" applyAlignment="1">
      <alignment horizontal="justify" vertical="top" wrapText="1"/>
    </xf>
    <xf numFmtId="0" fontId="36" fillId="2" borderId="0" xfId="1" applyFont="1" applyFill="1" applyAlignment="1">
      <alignment horizontal="justify" vertical="top" wrapText="1"/>
    </xf>
    <xf numFmtId="0" fontId="37" fillId="2" borderId="0" xfId="1" applyFont="1" applyFill="1" applyAlignment="1">
      <alignment horizontal="justify" vertical="top" wrapText="1"/>
    </xf>
    <xf numFmtId="0" fontId="37" fillId="2" borderId="0" xfId="1" applyFont="1" applyFill="1" applyAlignment="1">
      <alignment horizontal="left" vertical="center" wrapText="1"/>
    </xf>
    <xf numFmtId="0" fontId="36" fillId="2" borderId="0" xfId="1" applyFont="1" applyFill="1" applyAlignment="1">
      <alignment horizontal="justify" vertical="center" wrapText="1"/>
    </xf>
    <xf numFmtId="0" fontId="13" fillId="0" borderId="0" xfId="1" applyFont="1"/>
    <xf numFmtId="0" fontId="1" fillId="0" borderId="0" xfId="1"/>
    <xf numFmtId="0" fontId="13" fillId="16" borderId="2" xfId="1" applyFont="1" applyFill="1" applyBorder="1" applyAlignment="1">
      <alignment horizontal="center"/>
    </xf>
    <xf numFmtId="0" fontId="13" fillId="15" borderId="2" xfId="1" applyFont="1" applyFill="1" applyBorder="1" applyAlignment="1">
      <alignment horizontal="center"/>
    </xf>
    <xf numFmtId="0" fontId="8" fillId="16" borderId="2" xfId="1" applyFont="1" applyFill="1" applyBorder="1" applyAlignment="1">
      <alignment horizontal="center" vertical="center"/>
    </xf>
    <xf numFmtId="0" fontId="3" fillId="4" borderId="2" xfId="0" applyFont="1" applyFill="1" applyBorder="1" applyAlignment="1">
      <alignment vertical="center"/>
    </xf>
    <xf numFmtId="10" fontId="3" fillId="4" borderId="2" xfId="4" applyNumberFormat="1" applyFont="1" applyFill="1" applyBorder="1" applyAlignment="1">
      <alignment horizontal="center" vertical="center"/>
    </xf>
    <xf numFmtId="0" fontId="5" fillId="0" borderId="2" xfId="0" applyFont="1" applyBorder="1" applyAlignment="1">
      <alignment horizontal="left" vertical="top" wrapText="1"/>
    </xf>
    <xf numFmtId="0" fontId="15" fillId="14" borderId="2" xfId="0" applyFont="1" applyFill="1" applyBorder="1" applyAlignment="1" applyProtection="1">
      <alignment horizontal="center" vertical="center" wrapText="1"/>
      <protection locked="0"/>
    </xf>
    <xf numFmtId="0" fontId="15" fillId="0" borderId="2" xfId="0" applyFont="1" applyBorder="1" applyAlignment="1" applyProtection="1">
      <alignment horizontal="center" vertical="center"/>
      <protection locked="0"/>
    </xf>
    <xf numFmtId="0" fontId="2" fillId="3" borderId="26" xfId="1" applyFont="1" applyFill="1" applyBorder="1" applyAlignment="1">
      <alignment horizontal="center" vertical="center" wrapText="1"/>
    </xf>
    <xf numFmtId="0" fontId="2" fillId="3" borderId="27" xfId="1" applyFont="1" applyFill="1" applyBorder="1" applyAlignment="1">
      <alignment horizontal="center" vertical="center" wrapText="1"/>
    </xf>
    <xf numFmtId="10" fontId="2" fillId="3" borderId="27" xfId="4" applyNumberFormat="1" applyFont="1" applyFill="1" applyBorder="1" applyAlignment="1">
      <alignment horizontal="center" vertical="center" wrapText="1"/>
    </xf>
    <xf numFmtId="0" fontId="2" fillId="3" borderId="28" xfId="1" applyFont="1" applyFill="1" applyBorder="1" applyAlignment="1">
      <alignment horizontal="center" vertical="center" wrapText="1"/>
    </xf>
    <xf numFmtId="0" fontId="3" fillId="4" borderId="29" xfId="0" applyFont="1" applyFill="1" applyBorder="1" applyAlignment="1">
      <alignment vertical="center"/>
    </xf>
    <xf numFmtId="0" fontId="3" fillId="4" borderId="30" xfId="0" applyFont="1" applyFill="1" applyBorder="1" applyAlignment="1">
      <alignment vertical="center"/>
    </xf>
    <xf numFmtId="0" fontId="4" fillId="0" borderId="29" xfId="0" applyFont="1" applyBorder="1" applyAlignment="1">
      <alignment horizontal="center" vertical="top" wrapText="1"/>
    </xf>
    <xf numFmtId="0" fontId="4" fillId="0" borderId="30" xfId="0" applyFont="1" applyBorder="1" applyAlignment="1" applyProtection="1">
      <alignment horizontal="left" vertical="top" wrapText="1"/>
      <protection locked="0"/>
    </xf>
    <xf numFmtId="0" fontId="5" fillId="0" borderId="30" xfId="0" applyFont="1" applyBorder="1" applyAlignment="1">
      <alignment horizontal="left" vertical="top" wrapText="1"/>
    </xf>
    <xf numFmtId="0" fontId="4" fillId="8" borderId="29" xfId="0" applyFont="1" applyFill="1" applyBorder="1" applyAlignment="1">
      <alignment horizontal="center" vertical="top" wrapText="1"/>
    </xf>
    <xf numFmtId="0" fontId="32" fillId="0" borderId="30" xfId="0" applyFont="1" applyBorder="1" applyAlignment="1">
      <alignment horizontal="left" vertical="top" wrapText="1"/>
    </xf>
    <xf numFmtId="0" fontId="33" fillId="4" borderId="30" xfId="0" applyFont="1" applyFill="1" applyBorder="1" applyAlignment="1" applyProtection="1">
      <alignment vertical="center"/>
      <protection hidden="1"/>
    </xf>
    <xf numFmtId="0" fontId="4" fillId="0" borderId="31" xfId="0" applyFont="1" applyBorder="1" applyAlignment="1">
      <alignment horizontal="center" vertical="top" wrapText="1"/>
    </xf>
    <xf numFmtId="0" fontId="5" fillId="0" borderId="32" xfId="0" applyFont="1" applyBorder="1" applyAlignment="1">
      <alignment horizontal="left" vertical="top" wrapText="1"/>
    </xf>
    <xf numFmtId="0" fontId="15" fillId="14" borderId="32" xfId="0" applyFont="1" applyFill="1" applyBorder="1" applyAlignment="1" applyProtection="1">
      <alignment horizontal="center" vertical="center" wrapText="1"/>
      <protection locked="0"/>
    </xf>
    <xf numFmtId="0" fontId="15" fillId="0" borderId="32" xfId="0" applyFont="1" applyBorder="1" applyAlignment="1" applyProtection="1">
      <alignment horizontal="center" vertical="center"/>
      <protection locked="0"/>
    </xf>
    <xf numFmtId="0" fontId="32" fillId="0" borderId="33" xfId="0" applyFont="1" applyBorder="1" applyAlignment="1">
      <alignment horizontal="left" vertical="top" wrapText="1"/>
    </xf>
    <xf numFmtId="0" fontId="31" fillId="0" borderId="2" xfId="0" applyFont="1" applyBorder="1" applyAlignment="1">
      <alignment horizontal="left" vertical="top" wrapText="1"/>
    </xf>
    <xf numFmtId="0" fontId="33" fillId="0" borderId="29" xfId="0" applyFont="1" applyBorder="1" applyAlignment="1">
      <alignment horizontal="center" vertical="top" wrapText="1"/>
    </xf>
    <xf numFmtId="0" fontId="31" fillId="0" borderId="30" xfId="0" applyFont="1" applyBorder="1" applyAlignment="1">
      <alignment horizontal="left" vertical="top" wrapText="1"/>
    </xf>
    <xf numFmtId="0" fontId="33" fillId="8" borderId="29" xfId="0" applyFont="1" applyFill="1" applyBorder="1" applyAlignment="1">
      <alignment horizontal="center" vertical="top" wrapText="1"/>
    </xf>
    <xf numFmtId="0" fontId="33" fillId="8" borderId="31" xfId="0" applyFont="1" applyFill="1" applyBorder="1" applyAlignment="1">
      <alignment horizontal="center" vertical="top" wrapText="1"/>
    </xf>
    <xf numFmtId="0" fontId="31" fillId="0" borderId="32" xfId="0" applyFont="1" applyBorder="1" applyAlignment="1">
      <alignment horizontal="left" vertical="top" wrapText="1"/>
    </xf>
    <xf numFmtId="0" fontId="31" fillId="0" borderId="33" xfId="0" applyFont="1" applyBorder="1" applyAlignment="1">
      <alignment horizontal="left" vertical="top" wrapText="1"/>
    </xf>
    <xf numFmtId="0" fontId="3" fillId="4" borderId="2" xfId="1" applyFont="1" applyFill="1" applyBorder="1" applyAlignment="1">
      <alignment vertical="center"/>
    </xf>
    <xf numFmtId="0" fontId="5" fillId="0" borderId="2" xfId="1" applyFont="1" applyBorder="1" applyAlignment="1">
      <alignment horizontal="left" vertical="top" wrapText="1"/>
    </xf>
    <xf numFmtId="0" fontId="31" fillId="0" borderId="2" xfId="1" applyFont="1" applyBorder="1" applyAlignment="1">
      <alignment horizontal="left" vertical="top" wrapText="1"/>
    </xf>
    <xf numFmtId="0" fontId="3" fillId="9" borderId="2" xfId="1" applyFont="1" applyFill="1" applyBorder="1" applyAlignment="1">
      <alignment vertical="center"/>
    </xf>
    <xf numFmtId="0" fontId="3" fillId="4" borderId="29" xfId="1" applyFont="1" applyFill="1" applyBorder="1" applyAlignment="1">
      <alignment vertical="center"/>
    </xf>
    <xf numFmtId="0" fontId="3" fillId="4" borderId="30" xfId="1" applyFont="1" applyFill="1" applyBorder="1" applyAlignment="1">
      <alignment vertical="center"/>
    </xf>
    <xf numFmtId="0" fontId="4" fillId="0" borderId="29" xfId="1" applyFont="1" applyBorder="1" applyAlignment="1">
      <alignment horizontal="center" vertical="top" wrapText="1"/>
    </xf>
    <xf numFmtId="0" fontId="5" fillId="0" borderId="30" xfId="1" applyFont="1" applyBorder="1" applyAlignment="1">
      <alignment horizontal="left" vertical="top" wrapText="1"/>
    </xf>
    <xf numFmtId="0" fontId="4" fillId="8" borderId="29" xfId="1" applyFont="1" applyFill="1" applyBorder="1" applyAlignment="1">
      <alignment horizontal="center" vertical="top" wrapText="1"/>
    </xf>
    <xf numFmtId="0" fontId="3" fillId="9" borderId="30" xfId="1" applyFont="1" applyFill="1" applyBorder="1" applyAlignment="1">
      <alignment vertical="center"/>
    </xf>
    <xf numFmtId="0" fontId="33" fillId="0" borderId="31" xfId="1" applyFont="1" applyBorder="1" applyAlignment="1">
      <alignment horizontal="center" vertical="top" wrapText="1"/>
    </xf>
    <xf numFmtId="0" fontId="5" fillId="0" borderId="32" xfId="1" applyFont="1" applyBorder="1" applyAlignment="1">
      <alignment horizontal="left" vertical="top" wrapText="1"/>
    </xf>
    <xf numFmtId="0" fontId="5" fillId="0" borderId="33" xfId="1" applyFont="1" applyBorder="1" applyAlignment="1">
      <alignment horizontal="left" vertical="top" wrapText="1"/>
    </xf>
    <xf numFmtId="0" fontId="5" fillId="8" borderId="2" xfId="0" applyFont="1" applyFill="1" applyBorder="1" applyAlignment="1">
      <alignment horizontal="left" vertical="top" wrapText="1"/>
    </xf>
    <xf numFmtId="0" fontId="3" fillId="12" borderId="2" xfId="0" applyFont="1" applyFill="1" applyBorder="1" applyAlignment="1">
      <alignment vertical="center"/>
    </xf>
    <xf numFmtId="0" fontId="0" fillId="0" borderId="30" xfId="0" applyBorder="1"/>
    <xf numFmtId="0" fontId="5" fillId="8" borderId="30" xfId="0" applyFont="1" applyFill="1" applyBorder="1" applyAlignment="1">
      <alignment horizontal="left" vertical="top" wrapText="1"/>
    </xf>
    <xf numFmtId="0" fontId="4" fillId="8" borderId="31" xfId="0" applyFont="1" applyFill="1" applyBorder="1" applyAlignment="1">
      <alignment horizontal="center" vertical="top" wrapText="1"/>
    </xf>
    <xf numFmtId="0" fontId="5" fillId="8" borderId="32" xfId="0" applyFont="1" applyFill="1" applyBorder="1" applyAlignment="1">
      <alignment horizontal="left" vertical="top" wrapText="1"/>
    </xf>
    <xf numFmtId="0" fontId="0" fillId="0" borderId="33" xfId="0" applyBorder="1"/>
    <xf numFmtId="0" fontId="45" fillId="0" borderId="2" xfId="1" applyFont="1" applyBorder="1" applyAlignment="1">
      <alignment horizontal="left" vertical="top" wrapText="1"/>
    </xf>
    <xf numFmtId="0" fontId="5" fillId="0" borderId="2" xfId="1" applyFont="1" applyBorder="1" applyAlignment="1">
      <alignment horizontal="justify" vertical="top" wrapText="1"/>
    </xf>
    <xf numFmtId="0" fontId="42" fillId="0" borderId="2" xfId="1" applyFont="1" applyBorder="1" applyAlignment="1">
      <alignment horizontal="left" vertical="top" wrapText="1"/>
    </xf>
    <xf numFmtId="0" fontId="3" fillId="4" borderId="2" xfId="1" applyFont="1" applyFill="1" applyBorder="1" applyAlignment="1">
      <alignment horizontal="left" vertical="center"/>
    </xf>
    <xf numFmtId="10" fontId="2" fillId="3" borderId="27" xfId="1" applyNumberFormat="1" applyFont="1" applyFill="1" applyBorder="1" applyAlignment="1">
      <alignment horizontal="center" vertical="center" wrapText="1"/>
    </xf>
    <xf numFmtId="0" fontId="3" fillId="4" borderId="30" xfId="1" applyFont="1" applyFill="1" applyBorder="1" applyAlignment="1" applyProtection="1">
      <alignment vertical="center"/>
      <protection locked="0"/>
    </xf>
    <xf numFmtId="0" fontId="27" fillId="0" borderId="30" xfId="1" applyFont="1" applyBorder="1" applyAlignment="1" applyProtection="1">
      <alignment horizontal="left" vertical="top" wrapText="1"/>
      <protection locked="0"/>
    </xf>
    <xf numFmtId="0" fontId="44" fillId="0" borderId="30" xfId="1" applyFont="1" applyBorder="1" applyAlignment="1" applyProtection="1">
      <alignment horizontal="left" vertical="top" wrapText="1"/>
      <protection locked="0"/>
    </xf>
    <xf numFmtId="0" fontId="1" fillId="4" borderId="30" xfId="1" applyFill="1" applyBorder="1" applyAlignment="1" applyProtection="1">
      <alignment vertical="center"/>
      <protection locked="0"/>
    </xf>
    <xf numFmtId="0" fontId="44" fillId="0" borderId="30" xfId="1" applyFont="1" applyBorder="1" applyAlignment="1">
      <alignment horizontal="left" vertical="top" wrapText="1"/>
    </xf>
    <xf numFmtId="0" fontId="5" fillId="0" borderId="30" xfId="1" applyFont="1" applyBorder="1" applyAlignment="1" applyProtection="1">
      <alignment horizontal="left" vertical="top" wrapText="1"/>
      <protection locked="0"/>
    </xf>
    <xf numFmtId="0" fontId="31" fillId="4" borderId="30" xfId="1" applyFont="1" applyFill="1" applyBorder="1" applyAlignment="1" applyProtection="1">
      <alignment vertical="center"/>
      <protection locked="0"/>
    </xf>
    <xf numFmtId="0" fontId="43" fillId="0" borderId="30" xfId="1" applyFont="1" applyBorder="1" applyAlignment="1" applyProtection="1">
      <alignment horizontal="left" vertical="top" wrapText="1"/>
      <protection locked="0"/>
    </xf>
    <xf numFmtId="0" fontId="4" fillId="8" borderId="31" xfId="1" applyFont="1" applyFill="1" applyBorder="1" applyAlignment="1">
      <alignment horizontal="center" vertical="top" wrapText="1"/>
    </xf>
    <xf numFmtId="0" fontId="47" fillId="0" borderId="33" xfId="0" applyFont="1" applyBorder="1" applyAlignment="1">
      <alignment horizontal="left" vertical="center"/>
    </xf>
    <xf numFmtId="0" fontId="8" fillId="4" borderId="2" xfId="0" applyFont="1" applyFill="1" applyBorder="1" applyAlignment="1">
      <alignment vertical="center"/>
    </xf>
    <xf numFmtId="0" fontId="3" fillId="4" borderId="2" xfId="0" applyFont="1" applyFill="1" applyBorder="1" applyAlignment="1" applyProtection="1">
      <alignment vertical="center"/>
      <protection locked="0"/>
    </xf>
    <xf numFmtId="0" fontId="3" fillId="4" borderId="30" xfId="0" applyFont="1" applyFill="1" applyBorder="1" applyAlignment="1" applyProtection="1">
      <alignment vertical="center"/>
      <protection locked="0"/>
    </xf>
    <xf numFmtId="0" fontId="35" fillId="0" borderId="30" xfId="0" applyFont="1" applyBorder="1" applyAlignment="1" applyProtection="1">
      <alignment horizontal="left" vertical="top" wrapText="1"/>
      <protection locked="0"/>
    </xf>
    <xf numFmtId="0" fontId="5" fillId="0" borderId="30" xfId="0" applyFont="1" applyBorder="1" applyAlignment="1" applyProtection="1">
      <alignment horizontal="left" vertical="top" wrapText="1"/>
      <protection locked="0"/>
    </xf>
    <xf numFmtId="0" fontId="5" fillId="0" borderId="33" xfId="0" applyFont="1" applyBorder="1" applyAlignment="1" applyProtection="1">
      <alignment horizontal="left" vertical="top" wrapText="1"/>
      <protection locked="0"/>
    </xf>
    <xf numFmtId="0" fontId="31" fillId="8" borderId="2" xfId="0" applyFont="1" applyFill="1" applyBorder="1" applyAlignment="1">
      <alignment horizontal="left" vertical="top" wrapText="1"/>
    </xf>
    <xf numFmtId="0" fontId="26" fillId="0" borderId="30" xfId="0" applyFont="1" applyBorder="1" applyAlignment="1" applyProtection="1">
      <alignment horizontal="left" vertical="top" wrapText="1"/>
      <protection locked="0"/>
    </xf>
    <xf numFmtId="0" fontId="31" fillId="8" borderId="30" xfId="0" applyFont="1" applyFill="1" applyBorder="1" applyAlignment="1">
      <alignment horizontal="left" vertical="top" wrapText="1"/>
    </xf>
    <xf numFmtId="0" fontId="31" fillId="8" borderId="32" xfId="0" applyFont="1" applyFill="1" applyBorder="1" applyAlignment="1">
      <alignment horizontal="left" vertical="top" wrapText="1"/>
    </xf>
    <xf numFmtId="0" fontId="5" fillId="8" borderId="2" xfId="1" applyFont="1" applyFill="1" applyBorder="1" applyAlignment="1">
      <alignment horizontal="left" vertical="top" wrapText="1"/>
    </xf>
    <xf numFmtId="0" fontId="31" fillId="8" borderId="2" xfId="1" applyFont="1" applyFill="1" applyBorder="1" applyAlignment="1">
      <alignment horizontal="left" vertical="top" wrapText="1"/>
    </xf>
    <xf numFmtId="0" fontId="31" fillId="8" borderId="30" xfId="1" applyFont="1" applyFill="1" applyBorder="1" applyAlignment="1">
      <alignment horizontal="left" vertical="top" wrapText="1"/>
    </xf>
    <xf numFmtId="0" fontId="5" fillId="8" borderId="30" xfId="1" applyFont="1" applyFill="1" applyBorder="1" applyAlignment="1">
      <alignment horizontal="left" vertical="top" wrapText="1"/>
    </xf>
    <xf numFmtId="0" fontId="5" fillId="8" borderId="32" xfId="1" applyFont="1" applyFill="1" applyBorder="1" applyAlignment="1">
      <alignment horizontal="left" vertical="top" wrapText="1"/>
    </xf>
    <xf numFmtId="0" fontId="5" fillId="0" borderId="33" xfId="1" applyFont="1" applyBorder="1" applyAlignment="1" applyProtection="1">
      <alignment horizontal="left" vertical="top" wrapText="1"/>
      <protection locked="0"/>
    </xf>
    <xf numFmtId="0" fontId="33" fillId="4" borderId="2" xfId="1" applyFont="1" applyFill="1" applyBorder="1" applyAlignment="1">
      <alignment vertical="top"/>
    </xf>
    <xf numFmtId="0" fontId="33" fillId="4" borderId="2" xfId="1" applyFont="1" applyFill="1" applyBorder="1" applyAlignment="1">
      <alignment vertical="top" wrapText="1"/>
    </xf>
    <xf numFmtId="0" fontId="33" fillId="4" borderId="30" xfId="1" applyFont="1" applyFill="1" applyBorder="1" applyAlignment="1">
      <alignment vertical="top"/>
    </xf>
    <xf numFmtId="0" fontId="28" fillId="0" borderId="30" xfId="1" applyFont="1" applyBorder="1" applyAlignment="1" applyProtection="1">
      <alignment vertical="center"/>
      <protection locked="0"/>
    </xf>
    <xf numFmtId="0" fontId="1" fillId="0" borderId="30" xfId="1" applyBorder="1" applyAlignment="1" applyProtection="1">
      <alignment vertical="center"/>
      <protection locked="0"/>
    </xf>
    <xf numFmtId="0" fontId="33" fillId="4" borderId="30" xfId="1" applyFont="1" applyFill="1" applyBorder="1" applyAlignment="1" applyProtection="1">
      <alignment vertical="top"/>
      <protection hidden="1"/>
    </xf>
    <xf numFmtId="0" fontId="26" fillId="0" borderId="30" xfId="1" applyFont="1" applyBorder="1" applyAlignment="1">
      <alignment horizontal="left" vertical="top" wrapText="1"/>
    </xf>
    <xf numFmtId="0" fontId="4" fillId="0" borderId="30" xfId="1" applyFont="1" applyBorder="1" applyAlignment="1">
      <alignment horizontal="left" vertical="top" wrapText="1"/>
    </xf>
    <xf numFmtId="0" fontId="28" fillId="4" borderId="2" xfId="0" applyFont="1" applyFill="1" applyBorder="1" applyAlignment="1" applyProtection="1">
      <alignment vertical="center"/>
      <protection locked="0"/>
    </xf>
    <xf numFmtId="0" fontId="4" fillId="0" borderId="30" xfId="1" applyFont="1" applyBorder="1" applyAlignment="1" applyProtection="1">
      <alignment horizontal="left" vertical="top" wrapText="1"/>
      <protection locked="0"/>
    </xf>
    <xf numFmtId="0" fontId="5" fillId="0" borderId="30" xfId="0" applyFont="1" applyBorder="1" applyAlignment="1" applyProtection="1">
      <alignment horizontal="center" vertical="center" wrapText="1"/>
      <protection hidden="1"/>
    </xf>
    <xf numFmtId="0" fontId="28" fillId="4" borderId="30" xfId="0" applyFont="1" applyFill="1" applyBorder="1" applyAlignment="1" applyProtection="1">
      <alignment vertical="center"/>
      <protection locked="0"/>
    </xf>
    <xf numFmtId="0" fontId="32" fillId="8" borderId="30" xfId="1" applyFont="1" applyFill="1" applyBorder="1" applyAlignment="1">
      <alignment horizontal="left" vertical="top" wrapText="1"/>
    </xf>
    <xf numFmtId="0" fontId="31" fillId="4" borderId="30" xfId="1" applyFont="1" applyFill="1" applyBorder="1" applyAlignment="1" applyProtection="1">
      <alignment vertical="top"/>
      <protection locked="0"/>
    </xf>
    <xf numFmtId="0" fontId="42" fillId="0" borderId="30" xfId="0" applyFont="1" applyBorder="1" applyAlignment="1">
      <alignment vertical="center" wrapText="1"/>
    </xf>
    <xf numFmtId="0" fontId="34" fillId="4" borderId="29" xfId="1" applyFont="1" applyFill="1" applyBorder="1" applyAlignment="1">
      <alignment vertical="center"/>
    </xf>
    <xf numFmtId="0" fontId="31" fillId="4" borderId="30" xfId="1" applyFont="1" applyFill="1" applyBorder="1" applyAlignment="1" applyProtection="1">
      <alignment vertical="top" wrapText="1"/>
      <protection locked="0"/>
    </xf>
    <xf numFmtId="0" fontId="5" fillId="0" borderId="30" xfId="1" applyFont="1" applyBorder="1" applyAlignment="1" applyProtection="1">
      <alignment vertical="top" wrapText="1"/>
      <protection locked="0"/>
    </xf>
    <xf numFmtId="0" fontId="30" fillId="0" borderId="2" xfId="0" applyFont="1" applyBorder="1" applyAlignment="1">
      <alignment horizontal="left" vertical="top" wrapText="1"/>
    </xf>
    <xf numFmtId="0" fontId="30" fillId="8" borderId="2" xfId="0" applyFont="1" applyFill="1" applyBorder="1" applyAlignment="1">
      <alignment horizontal="left" vertical="top" wrapText="1"/>
    </xf>
    <xf numFmtId="0" fontId="3" fillId="9" borderId="2" xfId="0" applyFont="1" applyFill="1" applyBorder="1" applyAlignment="1">
      <alignment vertical="center"/>
    </xf>
    <xf numFmtId="10" fontId="3" fillId="9" borderId="2" xfId="4" applyNumberFormat="1" applyFont="1" applyFill="1" applyBorder="1" applyAlignment="1">
      <alignment horizontal="center" vertical="center"/>
    </xf>
    <xf numFmtId="0" fontId="3" fillId="9" borderId="29" xfId="0" applyFont="1" applyFill="1" applyBorder="1" applyAlignment="1">
      <alignment vertical="center"/>
    </xf>
    <xf numFmtId="0" fontId="3" fillId="9" borderId="30" xfId="0" applyFont="1" applyFill="1" applyBorder="1" applyAlignment="1">
      <alignment vertical="center"/>
    </xf>
    <xf numFmtId="0" fontId="5" fillId="8" borderId="30" xfId="0" applyFont="1" applyFill="1" applyBorder="1" applyAlignment="1" applyProtection="1">
      <alignment horizontal="center" vertical="center" wrapText="1"/>
      <protection hidden="1"/>
    </xf>
    <xf numFmtId="0" fontId="5" fillId="8" borderId="33" xfId="0" applyFont="1" applyFill="1" applyBorder="1" applyAlignment="1">
      <alignment horizontal="left" vertical="top" wrapText="1"/>
    </xf>
    <xf numFmtId="0" fontId="3" fillId="12" borderId="2" xfId="0" applyFont="1" applyFill="1" applyBorder="1" applyAlignment="1">
      <alignment horizontal="left" vertical="center"/>
    </xf>
    <xf numFmtId="0" fontId="3" fillId="12" borderId="29" xfId="0" applyFont="1" applyFill="1" applyBorder="1" applyAlignment="1">
      <alignment vertical="center"/>
    </xf>
    <xf numFmtId="0" fontId="3" fillId="12" borderId="30" xfId="0" applyFont="1" applyFill="1" applyBorder="1" applyAlignment="1">
      <alignment vertical="center"/>
    </xf>
    <xf numFmtId="0" fontId="3" fillId="4" borderId="30" xfId="0" applyFont="1" applyFill="1" applyBorder="1" applyAlignment="1" applyProtection="1">
      <alignment vertical="center"/>
      <protection hidden="1"/>
    </xf>
    <xf numFmtId="0" fontId="29" fillId="0" borderId="30" xfId="0" applyFont="1" applyBorder="1" applyAlignment="1" applyProtection="1">
      <alignment horizontal="center" vertical="top" wrapText="1"/>
      <protection locked="0"/>
    </xf>
    <xf numFmtId="0" fontId="26" fillId="8" borderId="33" xfId="0" applyFont="1" applyFill="1" applyBorder="1" applyAlignment="1" applyProtection="1">
      <alignment horizontal="left" vertical="top" wrapText="1"/>
      <protection locked="0"/>
    </xf>
    <xf numFmtId="10" fontId="3" fillId="4" borderId="2" xfId="4" applyNumberFormat="1" applyFont="1" applyFill="1" applyBorder="1" applyAlignment="1" applyProtection="1">
      <alignment horizontal="center" vertical="center"/>
      <protection locked="0"/>
    </xf>
    <xf numFmtId="10" fontId="3" fillId="4" borderId="2" xfId="0" applyNumberFormat="1" applyFont="1" applyFill="1" applyBorder="1" applyAlignment="1" applyProtection="1">
      <alignment vertical="center"/>
      <protection locked="0"/>
    </xf>
    <xf numFmtId="0" fontId="5" fillId="0" borderId="2" xfId="0" quotePrefix="1" applyFont="1" applyBorder="1" applyAlignment="1">
      <alignment horizontal="left" vertical="top" wrapText="1"/>
    </xf>
    <xf numFmtId="0" fontId="3" fillId="4" borderId="29" xfId="0" applyFont="1" applyFill="1" applyBorder="1" applyAlignment="1" applyProtection="1">
      <alignment vertical="center"/>
      <protection locked="0"/>
    </xf>
    <xf numFmtId="0" fontId="27" fillId="0" borderId="30" xfId="0" applyFont="1" applyBorder="1" applyAlignment="1" applyProtection="1">
      <alignment horizontal="left" vertical="top" wrapText="1"/>
      <protection locked="0"/>
    </xf>
    <xf numFmtId="0" fontId="1" fillId="4" borderId="30" xfId="0" applyFont="1" applyFill="1" applyBorder="1" applyAlignment="1" applyProtection="1">
      <alignment vertical="center"/>
      <protection locked="0"/>
    </xf>
    <xf numFmtId="0" fontId="26" fillId="0" borderId="33" xfId="0" applyFont="1" applyBorder="1" applyAlignment="1" applyProtection="1">
      <alignment horizontal="left" vertical="top" wrapText="1"/>
      <protection locked="0"/>
    </xf>
    <xf numFmtId="0" fontId="28" fillId="12" borderId="30" xfId="0" applyFont="1" applyFill="1" applyBorder="1" applyAlignment="1" applyProtection="1">
      <alignment vertical="center"/>
      <protection locked="0"/>
    </xf>
    <xf numFmtId="0" fontId="0" fillId="12" borderId="30" xfId="0" applyFill="1" applyBorder="1"/>
    <xf numFmtId="0" fontId="26" fillId="0" borderId="30" xfId="0" applyFont="1" applyBorder="1" applyAlignment="1">
      <alignment horizontal="left" vertical="center" wrapText="1"/>
    </xf>
    <xf numFmtId="0" fontId="5" fillId="0" borderId="25" xfId="1" applyFont="1" applyBorder="1" applyAlignment="1">
      <alignment horizontal="left" vertical="top" wrapText="1"/>
    </xf>
    <xf numFmtId="0" fontId="30" fillId="0" borderId="30" xfId="1" applyFont="1" applyBorder="1" applyAlignment="1" applyProtection="1">
      <alignment horizontal="left" vertical="top" wrapText="1"/>
      <protection locked="0"/>
    </xf>
    <xf numFmtId="0" fontId="5" fillId="8" borderId="30" xfId="1" applyFont="1" applyFill="1" applyBorder="1" applyAlignment="1" applyProtection="1">
      <alignment horizontal="left" vertical="top" wrapText="1"/>
      <protection locked="0"/>
    </xf>
    <xf numFmtId="0" fontId="30" fillId="0" borderId="30" xfId="0" applyFont="1" applyBorder="1" applyAlignment="1">
      <alignment wrapText="1"/>
    </xf>
    <xf numFmtId="0" fontId="30" fillId="0" borderId="30" xfId="0" applyFont="1" applyBorder="1" applyAlignment="1">
      <alignment horizontal="left" vertical="center" wrapText="1"/>
    </xf>
    <xf numFmtId="0" fontId="30" fillId="0" borderId="30" xfId="1" applyFont="1" applyBorder="1" applyAlignment="1">
      <alignment horizontal="left" vertical="top" wrapText="1"/>
    </xf>
    <xf numFmtId="0" fontId="17" fillId="2" borderId="0" xfId="1" applyFont="1" applyFill="1" applyAlignment="1">
      <alignment horizontal="right" vertical="center"/>
    </xf>
    <xf numFmtId="164" fontId="15" fillId="2" borderId="3" xfId="1" applyNumberFormat="1" applyFont="1" applyFill="1" applyBorder="1" applyAlignment="1">
      <alignment horizontal="left" vertical="center" wrapText="1"/>
    </xf>
    <xf numFmtId="164" fontId="15" fillId="2" borderId="1" xfId="1" applyNumberFormat="1" applyFont="1" applyFill="1" applyBorder="1" applyAlignment="1">
      <alignment horizontal="left" vertical="center" wrapText="1"/>
    </xf>
    <xf numFmtId="14" fontId="18" fillId="2" borderId="1" xfId="1" applyNumberFormat="1" applyFont="1" applyFill="1" applyBorder="1" applyAlignment="1">
      <alignment horizontal="left" vertical="center" wrapText="1"/>
    </xf>
    <xf numFmtId="14" fontId="18" fillId="2" borderId="4" xfId="1" applyNumberFormat="1" applyFont="1" applyFill="1" applyBorder="1" applyAlignment="1">
      <alignment horizontal="left" vertical="center" wrapText="1"/>
    </xf>
    <xf numFmtId="0" fontId="16" fillId="2" borderId="0" xfId="1" applyFont="1" applyFill="1" applyAlignment="1">
      <alignment horizontal="center" vertical="center" wrapText="1"/>
    </xf>
    <xf numFmtId="0" fontId="38" fillId="2" borderId="0" xfId="1" applyFont="1" applyFill="1" applyAlignment="1">
      <alignment horizontal="center"/>
    </xf>
    <xf numFmtId="0" fontId="16" fillId="2" borderId="0" xfId="1" applyFont="1" applyFill="1" applyAlignment="1">
      <alignment horizontal="right" vertical="center"/>
    </xf>
    <xf numFmtId="0" fontId="15" fillId="2" borderId="3" xfId="1" applyFont="1" applyFill="1" applyBorder="1" applyAlignment="1">
      <alignment horizontal="left" vertical="center" wrapText="1"/>
    </xf>
    <xf numFmtId="0" fontId="15" fillId="2" borderId="1" xfId="1" applyFont="1" applyFill="1" applyBorder="1" applyAlignment="1">
      <alignment horizontal="left" vertical="center" wrapText="1"/>
    </xf>
    <xf numFmtId="14" fontId="15" fillId="2" borderId="1" xfId="1" applyNumberFormat="1" applyFont="1" applyFill="1" applyBorder="1" applyAlignment="1">
      <alignment horizontal="left" vertical="center" wrapText="1"/>
    </xf>
    <xf numFmtId="14" fontId="15" fillId="2" borderId="4" xfId="1" applyNumberFormat="1" applyFont="1" applyFill="1" applyBorder="1" applyAlignment="1">
      <alignment horizontal="left" vertical="center" wrapText="1"/>
    </xf>
    <xf numFmtId="0" fontId="15" fillId="2" borderId="5" xfId="1" applyFont="1" applyFill="1" applyBorder="1" applyAlignment="1">
      <alignment horizontal="left" vertical="top" wrapText="1"/>
    </xf>
    <xf numFmtId="0" fontId="15" fillId="2" borderId="6" xfId="1" applyFont="1" applyFill="1" applyBorder="1" applyAlignment="1">
      <alignment horizontal="left" vertical="top" wrapText="1"/>
    </xf>
    <xf numFmtId="0" fontId="15" fillId="2" borderId="7" xfId="1" applyFont="1" applyFill="1" applyBorder="1" applyAlignment="1">
      <alignment horizontal="left" vertical="top" wrapText="1"/>
    </xf>
    <xf numFmtId="0" fontId="15" fillId="2" borderId="8" xfId="1" applyFont="1" applyFill="1" applyBorder="1" applyAlignment="1">
      <alignment horizontal="left" vertical="top" wrapText="1"/>
    </xf>
    <xf numFmtId="0" fontId="15" fillId="2" borderId="0" xfId="1" applyFont="1" applyFill="1" applyAlignment="1">
      <alignment horizontal="left" vertical="top" wrapText="1"/>
    </xf>
    <xf numFmtId="0" fontId="15" fillId="2" borderId="9" xfId="1" applyFont="1" applyFill="1" applyBorder="1" applyAlignment="1">
      <alignment horizontal="left" vertical="top" wrapText="1"/>
    </xf>
    <xf numFmtId="0" fontId="15" fillId="2" borderId="10" xfId="1" applyFont="1" applyFill="1" applyBorder="1" applyAlignment="1">
      <alignment horizontal="left" vertical="top" wrapText="1"/>
    </xf>
    <xf numFmtId="0" fontId="15" fillId="2" borderId="11" xfId="1" applyFont="1" applyFill="1" applyBorder="1" applyAlignment="1">
      <alignment horizontal="left" vertical="top" wrapText="1"/>
    </xf>
    <xf numFmtId="0" fontId="15" fillId="2" borderId="12" xfId="1" applyFont="1" applyFill="1" applyBorder="1" applyAlignment="1">
      <alignment horizontal="left" vertical="top" wrapText="1"/>
    </xf>
    <xf numFmtId="49" fontId="15" fillId="2" borderId="5" xfId="1" applyNumberFormat="1" applyFont="1" applyFill="1" applyBorder="1" applyAlignment="1">
      <alignment horizontal="left" vertical="center" wrapText="1"/>
    </xf>
    <xf numFmtId="49" fontId="15" fillId="2" borderId="6" xfId="1" applyNumberFormat="1" applyFont="1" applyFill="1" applyBorder="1" applyAlignment="1">
      <alignment horizontal="left" vertical="center" wrapText="1"/>
    </xf>
    <xf numFmtId="49" fontId="15" fillId="2" borderId="7" xfId="1" applyNumberFormat="1" applyFont="1" applyFill="1" applyBorder="1" applyAlignment="1">
      <alignment horizontal="left" vertical="center" wrapText="1"/>
    </xf>
    <xf numFmtId="49" fontId="15" fillId="2" borderId="8" xfId="1" applyNumberFormat="1" applyFont="1" applyFill="1" applyBorder="1" applyAlignment="1">
      <alignment horizontal="left" vertical="center" wrapText="1"/>
    </xf>
    <xf numFmtId="49" fontId="15" fillId="2" borderId="0" xfId="1" applyNumberFormat="1" applyFont="1" applyFill="1" applyAlignment="1">
      <alignment horizontal="left" vertical="center" wrapText="1"/>
    </xf>
    <xf numFmtId="49" fontId="15" fillId="2" borderId="9" xfId="1" applyNumberFormat="1" applyFont="1" applyFill="1" applyBorder="1" applyAlignment="1">
      <alignment horizontal="left" vertical="center" wrapText="1"/>
    </xf>
    <xf numFmtId="49" fontId="15" fillId="2" borderId="10" xfId="1" applyNumberFormat="1" applyFont="1" applyFill="1" applyBorder="1" applyAlignment="1">
      <alignment horizontal="left" vertical="center" wrapText="1"/>
    </xf>
    <xf numFmtId="49" fontId="15" fillId="2" borderId="11" xfId="1" applyNumberFormat="1" applyFont="1" applyFill="1" applyBorder="1" applyAlignment="1">
      <alignment horizontal="left" vertical="center" wrapText="1"/>
    </xf>
    <xf numFmtId="49" fontId="15" fillId="2" borderId="12" xfId="1" applyNumberFormat="1" applyFont="1" applyFill="1" applyBorder="1" applyAlignment="1">
      <alignment horizontal="left" vertical="center" wrapText="1"/>
    </xf>
    <xf numFmtId="49" fontId="15" fillId="2" borderId="5" xfId="1" applyNumberFormat="1" applyFont="1" applyFill="1" applyBorder="1" applyAlignment="1">
      <alignment horizontal="left" vertical="top" wrapText="1"/>
    </xf>
    <xf numFmtId="49" fontId="15" fillId="2" borderId="6" xfId="1" applyNumberFormat="1" applyFont="1" applyFill="1" applyBorder="1" applyAlignment="1">
      <alignment horizontal="left" vertical="top"/>
    </xf>
    <xf numFmtId="49" fontId="15" fillId="2" borderId="7" xfId="1" applyNumberFormat="1" applyFont="1" applyFill="1" applyBorder="1" applyAlignment="1">
      <alignment horizontal="left" vertical="top"/>
    </xf>
    <xf numFmtId="49" fontId="15" fillId="2" borderId="8" xfId="1" applyNumberFormat="1" applyFont="1" applyFill="1" applyBorder="1" applyAlignment="1">
      <alignment horizontal="left" vertical="top"/>
    </xf>
    <xf numFmtId="49" fontId="15" fillId="2" borderId="0" xfId="1" applyNumberFormat="1" applyFont="1" applyFill="1" applyAlignment="1">
      <alignment horizontal="left" vertical="top"/>
    </xf>
    <xf numFmtId="49" fontId="15" fillId="2" borderId="9" xfId="1" applyNumberFormat="1" applyFont="1" applyFill="1" applyBorder="1" applyAlignment="1">
      <alignment horizontal="left" vertical="top"/>
    </xf>
    <xf numFmtId="49" fontId="15" fillId="2" borderId="10" xfId="1" applyNumberFormat="1" applyFont="1" applyFill="1" applyBorder="1" applyAlignment="1">
      <alignment horizontal="left" vertical="top"/>
    </xf>
    <xf numFmtId="49" fontId="15" fillId="2" borderId="11" xfId="1" applyNumberFormat="1" applyFont="1" applyFill="1" applyBorder="1" applyAlignment="1">
      <alignment horizontal="left" vertical="top"/>
    </xf>
    <xf numFmtId="49" fontId="15" fillId="2" borderId="12" xfId="1" applyNumberFormat="1" applyFont="1" applyFill="1" applyBorder="1" applyAlignment="1">
      <alignment horizontal="left" vertical="top"/>
    </xf>
    <xf numFmtId="0" fontId="1" fillId="0" borderId="13" xfId="1" applyBorder="1" applyAlignment="1">
      <alignment horizontal="justify" vertical="top" wrapText="1"/>
    </xf>
    <xf numFmtId="0" fontId="1" fillId="0" borderId="14" xfId="1" applyBorder="1" applyAlignment="1">
      <alignment horizontal="justify" vertical="top" wrapText="1"/>
    </xf>
    <xf numFmtId="0" fontId="1" fillId="0" borderId="15" xfId="1" applyBorder="1" applyAlignment="1">
      <alignment horizontal="justify" vertical="top" wrapText="1"/>
    </xf>
    <xf numFmtId="0" fontId="1" fillId="0" borderId="16" xfId="1" applyBorder="1" applyAlignment="1">
      <alignment horizontal="justify" vertical="top" wrapText="1"/>
    </xf>
    <xf numFmtId="0" fontId="1" fillId="0" borderId="0" xfId="1" applyAlignment="1">
      <alignment horizontal="justify" vertical="top" wrapText="1"/>
    </xf>
    <xf numFmtId="0" fontId="1" fillId="0" borderId="17" xfId="1" applyBorder="1" applyAlignment="1">
      <alignment horizontal="justify" vertical="top" wrapText="1"/>
    </xf>
    <xf numFmtId="0" fontId="1" fillId="0" borderId="18" xfId="1" applyBorder="1" applyAlignment="1">
      <alignment horizontal="justify" vertical="top" wrapText="1"/>
    </xf>
    <xf numFmtId="0" fontId="1" fillId="0" borderId="19" xfId="1" applyBorder="1" applyAlignment="1">
      <alignment horizontal="justify" vertical="top" wrapText="1"/>
    </xf>
    <xf numFmtId="0" fontId="1" fillId="0" borderId="20" xfId="1" applyBorder="1" applyAlignment="1">
      <alignment horizontal="justify" vertical="top" wrapText="1"/>
    </xf>
    <xf numFmtId="0" fontId="13" fillId="2" borderId="0" xfId="1" applyFont="1" applyFill="1" applyAlignment="1">
      <alignment horizontal="justify" vertical="top" wrapText="1"/>
    </xf>
    <xf numFmtId="0" fontId="8" fillId="2" borderId="0" xfId="1" applyFont="1" applyFill="1" applyAlignment="1">
      <alignment horizontal="justify" vertical="top" wrapText="1"/>
    </xf>
    <xf numFmtId="0" fontId="8" fillId="2" borderId="0" xfId="1" applyFont="1" applyFill="1" applyAlignment="1">
      <alignment horizontal="left" vertical="center" wrapText="1"/>
    </xf>
    <xf numFmtId="0" fontId="13" fillId="0" borderId="0" xfId="1" applyFont="1" applyAlignment="1">
      <alignment horizontal="justify" vertical="top" wrapText="1"/>
    </xf>
    <xf numFmtId="0" fontId="37" fillId="2" borderId="0" xfId="1" applyFont="1" applyFill="1" applyAlignment="1">
      <alignment horizontal="left" vertical="center" wrapText="1"/>
    </xf>
    <xf numFmtId="0" fontId="13" fillId="0" borderId="0" xfId="1" applyFont="1" applyAlignment="1">
      <alignment horizontal="justify" vertical="center" wrapText="1"/>
    </xf>
    <xf numFmtId="0" fontId="13" fillId="2" borderId="2" xfId="1" applyFont="1" applyFill="1" applyBorder="1" applyAlignment="1">
      <alignment horizontal="left" vertical="center"/>
    </xf>
    <xf numFmtId="0" fontId="8" fillId="2" borderId="0" xfId="1" applyFont="1" applyFill="1" applyAlignment="1">
      <alignment horizontal="justify" vertical="top"/>
    </xf>
    <xf numFmtId="0" fontId="13" fillId="2" borderId="21" xfId="1" applyFont="1" applyFill="1" applyBorder="1" applyAlignment="1">
      <alignment horizontal="left" vertical="center"/>
    </xf>
    <xf numFmtId="0" fontId="13" fillId="2" borderId="22" xfId="1" applyFont="1" applyFill="1" applyBorder="1" applyAlignment="1">
      <alignment horizontal="left" vertical="center"/>
    </xf>
    <xf numFmtId="0" fontId="13" fillId="2" borderId="23" xfId="1" applyFont="1" applyFill="1" applyBorder="1" applyAlignment="1">
      <alignment horizontal="left" vertical="center"/>
    </xf>
    <xf numFmtId="0" fontId="13" fillId="2" borderId="2" xfId="1" applyFont="1" applyFill="1" applyBorder="1" applyAlignment="1">
      <alignment horizontal="left" vertical="center" wrapText="1"/>
    </xf>
    <xf numFmtId="0" fontId="13" fillId="2" borderId="21" xfId="1" applyFont="1" applyFill="1" applyBorder="1" applyAlignment="1">
      <alignment horizontal="left" vertical="center" wrapText="1"/>
    </xf>
    <xf numFmtId="0" fontId="16" fillId="2" borderId="0" xfId="1" applyFont="1" applyFill="1" applyAlignment="1">
      <alignment horizontal="left" vertical="center"/>
    </xf>
    <xf numFmtId="0" fontId="13" fillId="2" borderId="24" xfId="1" applyFont="1" applyFill="1" applyBorder="1" applyAlignment="1">
      <alignment horizontal="left" vertical="center"/>
    </xf>
    <xf numFmtId="0" fontId="13" fillId="2" borderId="0" xfId="1" applyFont="1" applyFill="1" applyAlignment="1">
      <alignment horizontal="left" vertical="center"/>
    </xf>
    <xf numFmtId="0" fontId="39" fillId="0" borderId="0" xfId="0" applyFont="1" applyAlignment="1">
      <alignment horizontal="center" vertical="center"/>
    </xf>
    <xf numFmtId="0" fontId="3" fillId="12" borderId="29" xfId="0" applyFont="1" applyFill="1" applyBorder="1" applyAlignment="1">
      <alignment horizontal="left" vertical="center"/>
    </xf>
    <xf numFmtId="0" fontId="3" fillId="12" borderId="2" xfId="0" applyFont="1" applyFill="1" applyBorder="1" applyAlignment="1">
      <alignment horizontal="left" vertical="center"/>
    </xf>
    <xf numFmtId="0" fontId="3" fillId="4" borderId="29" xfId="0" applyFont="1" applyFill="1" applyBorder="1" applyAlignment="1">
      <alignment horizontal="left" vertical="center"/>
    </xf>
    <xf numFmtId="0" fontId="40" fillId="13" borderId="29" xfId="1" applyFont="1" applyFill="1" applyBorder="1" applyAlignment="1">
      <alignment horizontal="left" vertical="center"/>
    </xf>
    <xf numFmtId="0" fontId="40" fillId="13" borderId="2" xfId="1" applyFont="1" applyFill="1" applyBorder="1" applyAlignment="1">
      <alignment horizontal="left" vertical="center"/>
    </xf>
    <xf numFmtId="0" fontId="40" fillId="13" borderId="30" xfId="1" applyFont="1" applyFill="1" applyBorder="1" applyAlignment="1">
      <alignment horizontal="left" vertical="center"/>
    </xf>
    <xf numFmtId="0" fontId="0" fillId="0" borderId="0" xfId="0" applyAlignment="1">
      <alignment horizontal="center" vertical="center"/>
    </xf>
    <xf numFmtId="0" fontId="3" fillId="4" borderId="29" xfId="1" applyFont="1" applyFill="1" applyBorder="1" applyAlignment="1">
      <alignment horizontal="left" vertical="center"/>
    </xf>
    <xf numFmtId="0" fontId="3" fillId="4" borderId="2" xfId="1" applyFont="1" applyFill="1" applyBorder="1" applyAlignment="1">
      <alignment horizontal="left" vertical="center"/>
    </xf>
  </cellXfs>
  <cellStyles count="5">
    <cellStyle name="Normal" xfId="0" builtinId="0"/>
    <cellStyle name="Normal 2" xfId="1" xr:uid="{00000000-0005-0000-0000-000001000000}"/>
    <cellStyle name="Normal 3" xfId="2" xr:uid="{00000000-0005-0000-0000-000002000000}"/>
    <cellStyle name="Porcentagem" xfId="4" builtinId="5"/>
    <cellStyle name="Porcentagem 2" xfId="3" xr:uid="{00000000-0005-0000-0000-000003000000}"/>
  </cellStyles>
  <dxfs count="669">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indexed="20"/>
      </font>
      <fill>
        <patternFill>
          <bgColor indexed="45"/>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b/>
        <i val="0"/>
        <condense val="0"/>
        <extend val="0"/>
        <color auto="1"/>
      </font>
      <fill>
        <patternFill>
          <bgColor indexed="11"/>
        </patternFill>
      </fill>
    </dxf>
    <dxf>
      <font>
        <b/>
        <i val="0"/>
        <condense val="0"/>
        <extend val="0"/>
        <color auto="1"/>
      </font>
      <fill>
        <patternFill>
          <bgColor indexed="13"/>
        </patternFill>
      </fill>
    </dxf>
    <dxf>
      <font>
        <b/>
        <i val="0"/>
        <condense val="0"/>
        <extend val="0"/>
        <color auto="1"/>
      </font>
      <fill>
        <patternFill>
          <bgColor indexed="10"/>
        </patternFill>
      </fill>
    </dxf>
    <dxf>
      <font>
        <b/>
        <i val="0"/>
        <condense val="0"/>
        <extend val="0"/>
        <color auto="1"/>
      </font>
      <fill>
        <patternFill>
          <bgColor indexed="11"/>
        </patternFill>
      </fill>
    </dxf>
    <dxf>
      <font>
        <b/>
        <i val="0"/>
        <condense val="0"/>
        <extend val="0"/>
        <color auto="1"/>
      </font>
      <fill>
        <patternFill>
          <bgColor indexed="13"/>
        </patternFill>
      </fill>
    </dxf>
    <dxf>
      <font>
        <b/>
        <i val="0"/>
        <condense val="0"/>
        <extend val="0"/>
        <color auto="1"/>
      </font>
      <fill>
        <patternFill>
          <bgColor indexed="10"/>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0070C0"/>
        </patternFill>
      </fill>
    </dxf>
    <dxf>
      <fill>
        <patternFill>
          <bgColor rgb="FF00FF00"/>
        </patternFill>
      </fill>
    </dxf>
    <dxf>
      <fill>
        <patternFill>
          <bgColor rgb="FFFFFF00"/>
        </patternFill>
      </fill>
    </dxf>
    <dxf>
      <fill>
        <patternFill>
          <bgColor theme="9" tint="-0.24994659260841701"/>
        </patternFill>
      </fill>
    </dxf>
    <dxf>
      <fill>
        <patternFill>
          <bgColor rgb="FFFF0000"/>
        </patternFill>
      </fill>
    </dxf>
    <dxf>
      <fill>
        <patternFill>
          <bgColor rgb="FFC00000"/>
        </patternFill>
      </fill>
    </dxf>
    <dxf>
      <fill>
        <patternFill>
          <bgColor rgb="FFFFC00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FF00"/>
        </patternFill>
      </fill>
    </dxf>
    <dxf>
      <fill>
        <patternFill>
          <bgColor rgb="FF00FF00"/>
        </patternFill>
      </fill>
    </dxf>
    <dxf>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0C0C0"/>
      <color rgb="FF00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247650</xdr:colOff>
      <xdr:row>2</xdr:row>
      <xdr:rowOff>38100</xdr:rowOff>
    </xdr:from>
    <xdr:to>
      <xdr:col>4</xdr:col>
      <xdr:colOff>0</xdr:colOff>
      <xdr:row>7</xdr:row>
      <xdr:rowOff>44450</xdr:rowOff>
    </xdr:to>
    <xdr:pic>
      <xdr:nvPicPr>
        <xdr:cNvPr id="1026" name="Picture 4">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650" y="431800"/>
          <a:ext cx="1460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400-000002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5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5123" name="Object 3" hidden="1">
              <a:extLst>
                <a:ext uri="{63B3BB69-23CF-44E3-9099-C40C66FF867C}">
                  <a14:compatExt spid="_x0000_s5123"/>
                </a:ext>
                <a:ext uri="{FF2B5EF4-FFF2-40B4-BE49-F238E27FC236}">
                  <a16:creationId xmlns:a16="http://schemas.microsoft.com/office/drawing/2014/main" id="{00000000-0008-0000-0600-000003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7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800-000002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9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A00-000002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B00-0000022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0C00-000002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12290" name="Object 2" hidden="1">
              <a:extLst>
                <a:ext uri="{63B3BB69-23CF-44E3-9099-C40C66FF867C}">
                  <a14:compatExt spid="_x0000_s12290"/>
                </a:ext>
                <a:ext uri="{FF2B5EF4-FFF2-40B4-BE49-F238E27FC236}">
                  <a16:creationId xmlns:a16="http://schemas.microsoft.com/office/drawing/2014/main" id="{00000000-0008-0000-0D00-000002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13314" name="Object 2" hidden="1">
              <a:extLst>
                <a:ext uri="{63B3BB69-23CF-44E3-9099-C40C66FF867C}">
                  <a14:compatExt spid="_x0000_s13314"/>
                </a:ext>
                <a:ext uri="{FF2B5EF4-FFF2-40B4-BE49-F238E27FC236}">
                  <a16:creationId xmlns:a16="http://schemas.microsoft.com/office/drawing/2014/main" id="{00000000-0008-0000-0E00-000002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121920</xdr:colOff>
          <xdr:row>0</xdr:row>
          <xdr:rowOff>76200</xdr:rowOff>
        </xdr:from>
        <xdr:to>
          <xdr:col>0</xdr:col>
          <xdr:colOff>922020</xdr:colOff>
          <xdr:row>1</xdr:row>
          <xdr:rowOff>121920</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F00-000002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image" Target="../media/image2.png"/><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image" Target="../media/image2.png"/><Relationship Id="rId4" Type="http://schemas.openxmlformats.org/officeDocument/2006/relationships/oleObject" Target="../embeddings/oleObject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 Id="rId5" Type="http://schemas.openxmlformats.org/officeDocument/2006/relationships/image" Target="../media/image2.png"/><Relationship Id="rId4" Type="http://schemas.openxmlformats.org/officeDocument/2006/relationships/oleObject" Target="../embeddings/oleObject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5" Type="http://schemas.openxmlformats.org/officeDocument/2006/relationships/image" Target="../media/image2.png"/><Relationship Id="rId4" Type="http://schemas.openxmlformats.org/officeDocument/2006/relationships/oleObject" Target="../embeddings/oleObject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8.bin"/><Relationship Id="rId5" Type="http://schemas.openxmlformats.org/officeDocument/2006/relationships/image" Target="../media/image2.png"/><Relationship Id="rId4" Type="http://schemas.openxmlformats.org/officeDocument/2006/relationships/oleObject" Target="../embeddings/oleObject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9.bin"/><Relationship Id="rId5" Type="http://schemas.openxmlformats.org/officeDocument/2006/relationships/image" Target="../media/image2.png"/><Relationship Id="rId4" Type="http://schemas.openxmlformats.org/officeDocument/2006/relationships/oleObject" Target="../embeddings/oleObject6.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10.bin"/><Relationship Id="rId5" Type="http://schemas.openxmlformats.org/officeDocument/2006/relationships/image" Target="../media/image2.png"/><Relationship Id="rId4" Type="http://schemas.openxmlformats.org/officeDocument/2006/relationships/oleObject" Target="../embeddings/oleObject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1.bin"/><Relationship Id="rId5" Type="http://schemas.openxmlformats.org/officeDocument/2006/relationships/image" Target="../media/image2.png"/><Relationship Id="rId4" Type="http://schemas.openxmlformats.org/officeDocument/2006/relationships/oleObject" Target="../embeddings/oleObject8.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12.bin"/><Relationship Id="rId5" Type="http://schemas.openxmlformats.org/officeDocument/2006/relationships/image" Target="../media/image2.png"/><Relationship Id="rId4" Type="http://schemas.openxmlformats.org/officeDocument/2006/relationships/oleObject" Target="../embeddings/oleObject9.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3.bin"/><Relationship Id="rId5" Type="http://schemas.openxmlformats.org/officeDocument/2006/relationships/image" Target="../media/image2.png"/><Relationship Id="rId4" Type="http://schemas.openxmlformats.org/officeDocument/2006/relationships/oleObject" Target="../embeddings/oleObject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2.xml"/><Relationship Id="rId1" Type="http://schemas.openxmlformats.org/officeDocument/2006/relationships/printerSettings" Target="../printerSettings/printerSettings14.bin"/><Relationship Id="rId5" Type="http://schemas.openxmlformats.org/officeDocument/2006/relationships/image" Target="../media/image2.png"/><Relationship Id="rId4" Type="http://schemas.openxmlformats.org/officeDocument/2006/relationships/oleObject" Target="../embeddings/oleObject11.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3.xml"/><Relationship Id="rId1" Type="http://schemas.openxmlformats.org/officeDocument/2006/relationships/printerSettings" Target="../printerSettings/printerSettings15.bin"/><Relationship Id="rId5" Type="http://schemas.openxmlformats.org/officeDocument/2006/relationships/image" Target="../media/image2.png"/><Relationship Id="rId4" Type="http://schemas.openxmlformats.org/officeDocument/2006/relationships/oleObject" Target="../embeddings/oleObject12.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4.xml"/><Relationship Id="rId1" Type="http://schemas.openxmlformats.org/officeDocument/2006/relationships/printerSettings" Target="../printerSettings/printerSettings16.bin"/><Relationship Id="rId5" Type="http://schemas.openxmlformats.org/officeDocument/2006/relationships/image" Target="../media/image2.png"/><Relationship Id="rId4" Type="http://schemas.openxmlformats.org/officeDocument/2006/relationships/oleObject" Target="../embeddings/oleObject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P38"/>
  <sheetViews>
    <sheetView showGridLines="0" workbookViewId="0"/>
  </sheetViews>
  <sheetFormatPr defaultColWidth="9.109375" defaultRowHeight="15" x14ac:dyDescent="0.25"/>
  <cols>
    <col min="1" max="1" width="3.5546875" style="7" customWidth="1"/>
    <col min="2" max="3" width="9.109375" style="7"/>
    <col min="4" max="4" width="15.33203125" style="7" customWidth="1"/>
    <col min="5" max="8" width="9.109375" style="7"/>
    <col min="9" max="9" width="8" style="7" customWidth="1"/>
    <col min="10" max="10" width="9.109375" style="7"/>
    <col min="11" max="11" width="7.33203125" style="7" customWidth="1"/>
    <col min="12" max="12" width="8.33203125" style="7" customWidth="1"/>
    <col min="13" max="13" width="7.5546875" style="7" customWidth="1"/>
    <col min="14" max="14" width="10.6640625" style="7" customWidth="1"/>
    <col min="15" max="15" width="11.88671875" style="7" customWidth="1"/>
    <col min="16" max="16" width="10.88671875" style="7" customWidth="1"/>
    <col min="17" max="16384" width="9.109375" style="7"/>
  </cols>
  <sheetData>
    <row r="1" spans="2:16" x14ac:dyDescent="0.25">
      <c r="B1" s="6"/>
      <c r="C1" s="6"/>
      <c r="D1" s="6"/>
      <c r="E1" s="6"/>
      <c r="F1" s="6"/>
      <c r="G1" s="6"/>
      <c r="H1" s="6"/>
      <c r="I1" s="6"/>
      <c r="J1" s="6"/>
      <c r="K1" s="6"/>
      <c r="L1" s="6"/>
      <c r="M1" s="6"/>
      <c r="N1" s="6"/>
      <c r="O1" s="6"/>
      <c r="P1" s="6"/>
    </row>
    <row r="2" spans="2:16" x14ac:dyDescent="0.25">
      <c r="B2" s="6"/>
      <c r="C2" s="6"/>
      <c r="D2" s="6"/>
      <c r="E2" s="6"/>
      <c r="F2" s="6"/>
      <c r="G2" s="6"/>
      <c r="H2" s="6"/>
      <c r="I2" s="6"/>
      <c r="J2" s="6"/>
      <c r="K2" s="6"/>
      <c r="L2" s="6"/>
      <c r="M2" s="6"/>
      <c r="N2" s="6"/>
      <c r="O2" s="6"/>
      <c r="P2" s="6"/>
    </row>
    <row r="3" spans="2:16" ht="15" customHeight="1" x14ac:dyDescent="0.25">
      <c r="B3" s="6"/>
      <c r="C3" s="6"/>
      <c r="D3" s="6"/>
      <c r="E3" s="6"/>
      <c r="F3" s="187" t="s">
        <v>0</v>
      </c>
      <c r="G3" s="187"/>
      <c r="H3" s="187"/>
      <c r="I3" s="187"/>
      <c r="J3" s="187"/>
      <c r="K3" s="187"/>
      <c r="L3" s="187"/>
      <c r="M3" s="187"/>
      <c r="N3" s="6"/>
      <c r="O3" s="6"/>
      <c r="P3" s="6"/>
    </row>
    <row r="4" spans="2:16" ht="15" customHeight="1" x14ac:dyDescent="0.25">
      <c r="B4" s="6"/>
      <c r="C4" s="6"/>
      <c r="D4" s="6"/>
      <c r="E4" s="6"/>
      <c r="F4" s="187"/>
      <c r="G4" s="187"/>
      <c r="H4" s="187"/>
      <c r="I4" s="187"/>
      <c r="J4" s="187"/>
      <c r="K4" s="187"/>
      <c r="L4" s="187"/>
      <c r="M4" s="187"/>
      <c r="N4" s="6"/>
      <c r="O4" s="6"/>
      <c r="P4" s="6"/>
    </row>
    <row r="5" spans="2:16" ht="15" customHeight="1" x14ac:dyDescent="0.25">
      <c r="B5" s="6"/>
      <c r="C5" s="6"/>
      <c r="D5" s="6"/>
      <c r="E5" s="6"/>
      <c r="F5" s="187"/>
      <c r="G5" s="187"/>
      <c r="H5" s="187"/>
      <c r="I5" s="187"/>
      <c r="J5" s="187"/>
      <c r="K5" s="187"/>
      <c r="L5" s="187"/>
      <c r="M5" s="187"/>
      <c r="N5" s="6"/>
      <c r="O5" s="6"/>
      <c r="P5" s="6"/>
    </row>
    <row r="6" spans="2:16" ht="15" customHeight="1" x14ac:dyDescent="0.25">
      <c r="B6" s="6"/>
      <c r="C6" s="6"/>
      <c r="D6" s="6"/>
      <c r="E6" s="6"/>
      <c r="F6" s="187"/>
      <c r="G6" s="187"/>
      <c r="H6" s="187"/>
      <c r="I6" s="187"/>
      <c r="J6" s="187"/>
      <c r="K6" s="187"/>
      <c r="L6" s="187"/>
      <c r="M6" s="187"/>
      <c r="N6" s="6"/>
      <c r="O6" s="6"/>
      <c r="P6" s="6"/>
    </row>
    <row r="7" spans="2:16" x14ac:dyDescent="0.25">
      <c r="B7" s="6"/>
      <c r="C7" s="6"/>
      <c r="D7" s="6"/>
      <c r="E7" s="6"/>
      <c r="F7" s="187"/>
      <c r="G7" s="187"/>
      <c r="H7" s="187"/>
      <c r="I7" s="187"/>
      <c r="J7" s="187"/>
      <c r="K7" s="187"/>
      <c r="L7" s="187"/>
      <c r="M7" s="187"/>
      <c r="N7" s="6"/>
      <c r="O7" s="6"/>
      <c r="P7" s="6"/>
    </row>
    <row r="8" spans="2:16" ht="15.6" x14ac:dyDescent="0.3">
      <c r="B8" s="6"/>
      <c r="C8" s="6"/>
      <c r="D8" s="6"/>
      <c r="E8" s="6"/>
      <c r="F8" s="188" t="s">
        <v>1</v>
      </c>
      <c r="G8" s="188"/>
      <c r="H8" s="188"/>
      <c r="I8" s="188"/>
      <c r="J8" s="188"/>
      <c r="K8" s="188"/>
      <c r="L8" s="188"/>
      <c r="M8" s="188"/>
      <c r="N8" s="6" t="s">
        <v>2</v>
      </c>
      <c r="O8" s="6"/>
      <c r="P8" s="6"/>
    </row>
    <row r="9" spans="2:16" x14ac:dyDescent="0.25">
      <c r="B9" s="6"/>
      <c r="C9" s="6"/>
      <c r="D9" s="6"/>
      <c r="E9" s="6"/>
      <c r="F9" s="6"/>
      <c r="G9" s="6"/>
      <c r="H9" s="6"/>
      <c r="I9" s="6"/>
      <c r="J9" s="6"/>
      <c r="K9" s="6"/>
      <c r="L9" s="6"/>
      <c r="M9" s="6"/>
      <c r="N9" s="6"/>
      <c r="O9" s="6"/>
      <c r="P9" s="6"/>
    </row>
    <row r="10" spans="2:16" x14ac:dyDescent="0.25">
      <c r="B10" s="6"/>
      <c r="C10" s="6"/>
      <c r="D10" s="6"/>
      <c r="E10" s="6"/>
      <c r="F10" s="6"/>
      <c r="G10" s="6"/>
      <c r="H10" s="6"/>
      <c r="I10" s="6"/>
      <c r="J10" s="6"/>
      <c r="K10" s="6"/>
      <c r="L10" s="6"/>
      <c r="M10" s="6"/>
      <c r="N10" s="6"/>
      <c r="O10" s="6"/>
      <c r="P10" s="6"/>
    </row>
    <row r="11" spans="2:16" ht="20.100000000000001" customHeight="1" x14ac:dyDescent="0.25">
      <c r="B11" s="189" t="s">
        <v>3</v>
      </c>
      <c r="C11" s="189"/>
      <c r="D11" s="189"/>
      <c r="E11" s="6"/>
      <c r="F11" s="190"/>
      <c r="G11" s="191"/>
      <c r="H11" s="191"/>
      <c r="I11" s="191"/>
      <c r="J11" s="191"/>
      <c r="K11" s="191"/>
      <c r="L11" s="191"/>
      <c r="M11" s="8" t="s">
        <v>4</v>
      </c>
      <c r="N11" s="192"/>
      <c r="O11" s="193"/>
      <c r="P11" s="6"/>
    </row>
    <row r="12" spans="2:16" ht="20.100000000000001" customHeight="1" x14ac:dyDescent="0.25">
      <c r="B12" s="6"/>
      <c r="C12" s="6"/>
      <c r="D12" s="6"/>
      <c r="E12" s="6"/>
      <c r="F12" s="9"/>
      <c r="G12" s="9"/>
      <c r="H12" s="9"/>
      <c r="I12" s="9"/>
      <c r="J12" s="9"/>
      <c r="K12" s="9"/>
      <c r="L12" s="9"/>
      <c r="M12" s="6"/>
      <c r="N12" s="9"/>
      <c r="O12" s="9"/>
      <c r="P12" s="6"/>
    </row>
    <row r="13" spans="2:16" s="12" customFormat="1" ht="20.100000000000001" customHeight="1" x14ac:dyDescent="0.25">
      <c r="B13" s="182" t="s">
        <v>5</v>
      </c>
      <c r="C13" s="182"/>
      <c r="D13" s="182"/>
      <c r="E13" s="10"/>
      <c r="F13" s="183"/>
      <c r="G13" s="184"/>
      <c r="H13" s="184"/>
      <c r="I13" s="184"/>
      <c r="J13" s="184"/>
      <c r="K13" s="184"/>
      <c r="L13" s="184"/>
      <c r="M13" s="11" t="s">
        <v>4</v>
      </c>
      <c r="N13" s="185"/>
      <c r="O13" s="186"/>
      <c r="P13" s="10"/>
    </row>
    <row r="14" spans="2:16" ht="20.100000000000001" customHeight="1" x14ac:dyDescent="0.3">
      <c r="B14" s="6"/>
      <c r="C14" s="6"/>
      <c r="D14" s="6"/>
      <c r="E14" s="6"/>
      <c r="F14" s="9"/>
      <c r="G14" s="9"/>
      <c r="H14" s="9"/>
      <c r="I14" s="9"/>
      <c r="J14" s="9"/>
      <c r="K14" s="9"/>
      <c r="L14" s="9"/>
      <c r="M14" s="13"/>
      <c r="N14" s="9"/>
      <c r="O14" s="9"/>
      <c r="P14" s="6"/>
    </row>
    <row r="15" spans="2:16" s="12" customFormat="1" ht="20.100000000000001" customHeight="1" x14ac:dyDescent="0.25">
      <c r="B15" s="182" t="s">
        <v>5</v>
      </c>
      <c r="C15" s="182"/>
      <c r="D15" s="182"/>
      <c r="E15" s="10"/>
      <c r="F15" s="190"/>
      <c r="G15" s="191"/>
      <c r="H15" s="191"/>
      <c r="I15" s="191"/>
      <c r="J15" s="191"/>
      <c r="K15" s="191"/>
      <c r="L15" s="191"/>
      <c r="M15" s="8" t="s">
        <v>4</v>
      </c>
      <c r="N15" s="192"/>
      <c r="O15" s="193"/>
      <c r="P15" s="10"/>
    </row>
    <row r="16" spans="2:16" s="12" customFormat="1" ht="20.100000000000001" customHeight="1" x14ac:dyDescent="0.25">
      <c r="B16" s="14"/>
      <c r="C16" s="14"/>
      <c r="D16" s="14"/>
      <c r="E16" s="10"/>
      <c r="F16" s="15"/>
      <c r="G16" s="15"/>
      <c r="H16" s="15"/>
      <c r="I16" s="15"/>
      <c r="J16" s="15"/>
      <c r="K16" s="15"/>
      <c r="L16" s="15"/>
      <c r="M16" s="16"/>
      <c r="N16" s="15"/>
      <c r="O16" s="15"/>
      <c r="P16" s="10"/>
    </row>
    <row r="17" spans="2:16" ht="15.6" x14ac:dyDescent="0.3">
      <c r="B17" s="6"/>
      <c r="C17" s="6"/>
      <c r="D17" s="17" t="s">
        <v>6</v>
      </c>
      <c r="E17" s="6"/>
      <c r="F17" s="194"/>
      <c r="G17" s="195"/>
      <c r="H17" s="195"/>
      <c r="I17" s="195"/>
      <c r="J17" s="195"/>
      <c r="K17" s="195"/>
      <c r="L17" s="195"/>
      <c r="M17" s="195"/>
      <c r="N17" s="195"/>
      <c r="O17" s="196"/>
      <c r="P17" s="6"/>
    </row>
    <row r="18" spans="2:16" x14ac:dyDescent="0.25">
      <c r="B18" s="6"/>
      <c r="C18" s="6"/>
      <c r="D18" s="6"/>
      <c r="E18" s="6"/>
      <c r="F18" s="197"/>
      <c r="G18" s="198"/>
      <c r="H18" s="198"/>
      <c r="I18" s="198"/>
      <c r="J18" s="198"/>
      <c r="K18" s="198"/>
      <c r="L18" s="198"/>
      <c r="M18" s="198"/>
      <c r="N18" s="198"/>
      <c r="O18" s="199"/>
      <c r="P18" s="6"/>
    </row>
    <row r="19" spans="2:16" x14ac:dyDescent="0.25">
      <c r="B19" s="6"/>
      <c r="C19" s="6"/>
      <c r="D19" s="6"/>
      <c r="E19" s="6"/>
      <c r="F19" s="200"/>
      <c r="G19" s="201"/>
      <c r="H19" s="201"/>
      <c r="I19" s="201"/>
      <c r="J19" s="201"/>
      <c r="K19" s="201"/>
      <c r="L19" s="201"/>
      <c r="M19" s="201"/>
      <c r="N19" s="201"/>
      <c r="O19" s="202"/>
      <c r="P19" s="6"/>
    </row>
    <row r="20" spans="2:16" x14ac:dyDescent="0.25">
      <c r="B20" s="6"/>
      <c r="C20" s="6"/>
      <c r="D20" s="6"/>
      <c r="E20" s="6"/>
      <c r="F20" s="6"/>
      <c r="G20" s="6"/>
      <c r="H20" s="6"/>
      <c r="I20" s="6"/>
      <c r="J20" s="6"/>
      <c r="K20" s="6"/>
      <c r="L20" s="6"/>
      <c r="M20" s="6"/>
      <c r="N20" s="6"/>
      <c r="O20" s="6"/>
      <c r="P20" s="6"/>
    </row>
    <row r="21" spans="2:16" ht="15.6" x14ac:dyDescent="0.3">
      <c r="B21" s="6"/>
      <c r="C21" s="6"/>
      <c r="D21" s="17" t="s">
        <v>7</v>
      </c>
      <c r="E21" s="6"/>
      <c r="F21" s="194"/>
      <c r="G21" s="195"/>
      <c r="H21" s="195"/>
      <c r="I21" s="195"/>
      <c r="J21" s="195"/>
      <c r="K21" s="195"/>
      <c r="L21" s="195"/>
      <c r="M21" s="195"/>
      <c r="N21" s="195"/>
      <c r="O21" s="196"/>
      <c r="P21" s="6"/>
    </row>
    <row r="22" spans="2:16" x14ac:dyDescent="0.25">
      <c r="B22" s="6"/>
      <c r="C22" s="6"/>
      <c r="D22" s="6"/>
      <c r="E22" s="6"/>
      <c r="F22" s="197"/>
      <c r="G22" s="198"/>
      <c r="H22" s="198"/>
      <c r="I22" s="198"/>
      <c r="J22" s="198"/>
      <c r="K22" s="198"/>
      <c r="L22" s="198"/>
      <c r="M22" s="198"/>
      <c r="N22" s="198"/>
      <c r="O22" s="199"/>
      <c r="P22" s="6"/>
    </row>
    <row r="23" spans="2:16" x14ac:dyDescent="0.25">
      <c r="B23" s="6"/>
      <c r="C23" s="6"/>
      <c r="D23" s="6"/>
      <c r="E23" s="6"/>
      <c r="F23" s="200"/>
      <c r="G23" s="201"/>
      <c r="H23" s="201"/>
      <c r="I23" s="201"/>
      <c r="J23" s="201"/>
      <c r="K23" s="201"/>
      <c r="L23" s="201"/>
      <c r="M23" s="201"/>
      <c r="N23" s="201"/>
      <c r="O23" s="202"/>
      <c r="P23" s="6"/>
    </row>
    <row r="24" spans="2:16" x14ac:dyDescent="0.25">
      <c r="B24" s="6"/>
      <c r="C24" s="6"/>
      <c r="D24" s="6"/>
      <c r="E24" s="6"/>
      <c r="F24" s="6"/>
      <c r="G24" s="6"/>
      <c r="H24" s="6"/>
      <c r="I24" s="6"/>
      <c r="J24" s="6"/>
      <c r="K24" s="6"/>
      <c r="L24" s="6"/>
      <c r="M24" s="6"/>
      <c r="N24" s="6"/>
      <c r="O24" s="6"/>
      <c r="P24" s="6"/>
    </row>
    <row r="25" spans="2:16" ht="15.6" x14ac:dyDescent="0.3">
      <c r="B25" s="6"/>
      <c r="C25" s="6"/>
      <c r="D25" s="17" t="s">
        <v>8</v>
      </c>
      <c r="E25" s="6"/>
      <c r="F25" s="203"/>
      <c r="G25" s="204"/>
      <c r="H25" s="204"/>
      <c r="I25" s="204"/>
      <c r="J25" s="204"/>
      <c r="K25" s="204"/>
      <c r="L25" s="204"/>
      <c r="M25" s="204"/>
      <c r="N25" s="204"/>
      <c r="O25" s="205"/>
      <c r="P25" s="6"/>
    </row>
    <row r="26" spans="2:16" x14ac:dyDescent="0.25">
      <c r="B26" s="6"/>
      <c r="C26" s="6"/>
      <c r="D26" s="6"/>
      <c r="E26" s="6"/>
      <c r="F26" s="206"/>
      <c r="G26" s="207"/>
      <c r="H26" s="207"/>
      <c r="I26" s="207"/>
      <c r="J26" s="207"/>
      <c r="K26" s="207"/>
      <c r="L26" s="207"/>
      <c r="M26" s="207"/>
      <c r="N26" s="207"/>
      <c r="O26" s="208"/>
      <c r="P26" s="6"/>
    </row>
    <row r="27" spans="2:16" x14ac:dyDescent="0.25">
      <c r="B27" s="6"/>
      <c r="C27" s="6"/>
      <c r="D27" s="6"/>
      <c r="E27" s="6"/>
      <c r="F27" s="209"/>
      <c r="G27" s="210"/>
      <c r="H27" s="210"/>
      <c r="I27" s="210"/>
      <c r="J27" s="210"/>
      <c r="K27" s="210"/>
      <c r="L27" s="210"/>
      <c r="M27" s="210"/>
      <c r="N27" s="210"/>
      <c r="O27" s="211"/>
      <c r="P27" s="6"/>
    </row>
    <row r="28" spans="2:16" x14ac:dyDescent="0.25">
      <c r="B28" s="6"/>
      <c r="C28" s="6"/>
      <c r="D28" s="6"/>
      <c r="E28" s="6"/>
      <c r="F28" s="6"/>
      <c r="G28" s="6"/>
      <c r="H28" s="6"/>
      <c r="I28" s="6"/>
      <c r="J28" s="6"/>
      <c r="K28" s="6"/>
      <c r="L28" s="6"/>
      <c r="M28" s="6"/>
      <c r="N28" s="6"/>
      <c r="O28" s="6"/>
      <c r="P28" s="6"/>
    </row>
    <row r="29" spans="2:16" ht="15.6" x14ac:dyDescent="0.3">
      <c r="B29" s="6"/>
      <c r="C29" s="6"/>
      <c r="D29" s="18" t="s">
        <v>9</v>
      </c>
      <c r="E29" s="6"/>
      <c r="F29" s="203"/>
      <c r="G29" s="204"/>
      <c r="H29" s="204"/>
      <c r="I29" s="204"/>
      <c r="J29" s="204"/>
      <c r="K29" s="204"/>
      <c r="L29" s="204"/>
      <c r="M29" s="204"/>
      <c r="N29" s="204"/>
      <c r="O29" s="205"/>
      <c r="P29" s="6"/>
    </row>
    <row r="30" spans="2:16" ht="48.75" customHeight="1" x14ac:dyDescent="0.25">
      <c r="B30" s="6"/>
      <c r="C30" s="6"/>
      <c r="D30" s="6"/>
      <c r="E30" s="6"/>
      <c r="F30" s="209"/>
      <c r="G30" s="210"/>
      <c r="H30" s="210"/>
      <c r="I30" s="210"/>
      <c r="J30" s="210"/>
      <c r="K30" s="210"/>
      <c r="L30" s="210"/>
      <c r="M30" s="210"/>
      <c r="N30" s="210"/>
      <c r="O30" s="211"/>
      <c r="P30" s="6"/>
    </row>
    <row r="31" spans="2:16" x14ac:dyDescent="0.25">
      <c r="B31" s="6"/>
      <c r="C31" s="6"/>
      <c r="D31" s="6"/>
      <c r="E31" s="6"/>
      <c r="F31" s="6"/>
      <c r="G31" s="6"/>
      <c r="H31" s="6"/>
      <c r="I31" s="6"/>
      <c r="J31" s="6"/>
      <c r="K31" s="6"/>
      <c r="L31" s="6"/>
      <c r="M31" s="6"/>
      <c r="N31" s="6"/>
      <c r="O31" s="6"/>
      <c r="P31" s="6"/>
    </row>
    <row r="32" spans="2:16" ht="15.6" x14ac:dyDescent="0.3">
      <c r="B32" s="6"/>
      <c r="C32" s="6"/>
      <c r="D32" s="17" t="s">
        <v>10</v>
      </c>
      <c r="E32" s="6"/>
      <c r="F32" s="212"/>
      <c r="G32" s="213"/>
      <c r="H32" s="213"/>
      <c r="I32" s="213"/>
      <c r="J32" s="213"/>
      <c r="K32" s="213"/>
      <c r="L32" s="213"/>
      <c r="M32" s="213"/>
      <c r="N32" s="213"/>
      <c r="O32" s="214"/>
      <c r="P32" s="6"/>
    </row>
    <row r="33" spans="2:16" x14ac:dyDescent="0.25">
      <c r="B33" s="6"/>
      <c r="C33" s="6"/>
      <c r="D33" s="6"/>
      <c r="E33" s="6"/>
      <c r="F33" s="215"/>
      <c r="G33" s="216"/>
      <c r="H33" s="216"/>
      <c r="I33" s="216"/>
      <c r="J33" s="216"/>
      <c r="K33" s="216"/>
      <c r="L33" s="216"/>
      <c r="M33" s="216"/>
      <c r="N33" s="216"/>
      <c r="O33" s="217"/>
      <c r="P33" s="6"/>
    </row>
    <row r="34" spans="2:16" x14ac:dyDescent="0.25">
      <c r="B34" s="6"/>
      <c r="C34" s="6"/>
      <c r="E34" s="6"/>
      <c r="F34" s="215"/>
      <c r="G34" s="216"/>
      <c r="H34" s="216"/>
      <c r="I34" s="216"/>
      <c r="J34" s="216"/>
      <c r="K34" s="216"/>
      <c r="L34" s="216"/>
      <c r="M34" s="216"/>
      <c r="N34" s="216"/>
      <c r="O34" s="217"/>
      <c r="P34" s="6"/>
    </row>
    <row r="35" spans="2:16" x14ac:dyDescent="0.25">
      <c r="B35" s="6"/>
      <c r="C35" s="6"/>
      <c r="D35" s="6"/>
      <c r="E35" s="6"/>
      <c r="F35" s="215"/>
      <c r="G35" s="216"/>
      <c r="H35" s="216"/>
      <c r="I35" s="216"/>
      <c r="J35" s="216"/>
      <c r="K35" s="216"/>
      <c r="L35" s="216"/>
      <c r="M35" s="216"/>
      <c r="N35" s="216"/>
      <c r="O35" s="217"/>
      <c r="P35" s="6"/>
    </row>
    <row r="36" spans="2:16" x14ac:dyDescent="0.25">
      <c r="B36" s="6"/>
      <c r="C36" s="6"/>
      <c r="D36" s="6"/>
      <c r="E36" s="6"/>
      <c r="F36" s="215"/>
      <c r="G36" s="216"/>
      <c r="H36" s="216"/>
      <c r="I36" s="216"/>
      <c r="J36" s="216"/>
      <c r="K36" s="216"/>
      <c r="L36" s="216"/>
      <c r="M36" s="216"/>
      <c r="N36" s="216"/>
      <c r="O36" s="217"/>
      <c r="P36" s="6"/>
    </row>
    <row r="37" spans="2:16" ht="53.25" customHeight="1" x14ac:dyDescent="0.25">
      <c r="B37" s="6"/>
      <c r="C37" s="6"/>
      <c r="D37" s="6"/>
      <c r="E37" s="6"/>
      <c r="F37" s="218"/>
      <c r="G37" s="219"/>
      <c r="H37" s="219"/>
      <c r="I37" s="219"/>
      <c r="J37" s="219"/>
      <c r="K37" s="219"/>
      <c r="L37" s="219"/>
      <c r="M37" s="219"/>
      <c r="N37" s="219"/>
      <c r="O37" s="220"/>
      <c r="P37" s="6"/>
    </row>
    <row r="38" spans="2:16" x14ac:dyDescent="0.25">
      <c r="B38" s="6"/>
      <c r="C38" s="6"/>
      <c r="D38" s="6"/>
      <c r="E38" s="6"/>
      <c r="F38" s="6"/>
      <c r="G38" s="6"/>
      <c r="H38" s="6"/>
      <c r="I38" s="6"/>
      <c r="J38" s="6"/>
      <c r="K38" s="6"/>
      <c r="L38" s="6"/>
      <c r="M38" s="6"/>
      <c r="N38" s="6"/>
      <c r="O38" s="6"/>
      <c r="P38" s="6"/>
    </row>
  </sheetData>
  <mergeCells count="18">
    <mergeCell ref="F21:O23"/>
    <mergeCell ref="F25:O27"/>
    <mergeCell ref="F29:O30"/>
    <mergeCell ref="F32:O37"/>
    <mergeCell ref="B15:D15"/>
    <mergeCell ref="F15:L15"/>
    <mergeCell ref="N15:O15"/>
    <mergeCell ref="F17:O17"/>
    <mergeCell ref="F18:O18"/>
    <mergeCell ref="F19:O19"/>
    <mergeCell ref="B13:D13"/>
    <mergeCell ref="F13:L13"/>
    <mergeCell ref="N13:O13"/>
    <mergeCell ref="F3:M7"/>
    <mergeCell ref="F8:M8"/>
    <mergeCell ref="B11:D11"/>
    <mergeCell ref="F11:L11"/>
    <mergeCell ref="N11:O11"/>
  </mergeCells>
  <pageMargins left="0.511811024" right="0.511811024" top="0.78740157499999996" bottom="0.78740157499999996" header="0.31496062000000002" footer="0.31496062000000002"/>
  <pageSetup paperSize="9" scale="62" fitToHeight="0" orientation="portrait" r:id="rId1"/>
  <headerFooter>
    <oddHeader>&amp;R&amp;"Calibri"&amp;7&amp;K000000 Security level: RINA/CL/SENSITIVE&amp;1#_x000D_</oddHeader>
    <oddFooter>&amp;L_x000D_&amp;1#&amp;"Trebuchet MS"&amp;9&amp;K737373 PÚBLICA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50"/>
  <sheetViews>
    <sheetView showGridLines="0" view="pageBreakPreview" zoomScaleNormal="100" zoomScaleSheetLayoutView="100" workbookViewId="0"/>
  </sheetViews>
  <sheetFormatPr defaultColWidth="9.109375" defaultRowHeight="13.2" x14ac:dyDescent="0.25"/>
  <cols>
    <col min="1" max="1" width="3.6640625" style="50" customWidth="1"/>
    <col min="2" max="12" width="9.109375" style="50"/>
    <col min="13" max="13" width="3.6640625" style="50" customWidth="1"/>
    <col min="14" max="16384" width="9.109375" style="50"/>
  </cols>
  <sheetData>
    <row r="1" spans="2:12" ht="9.9" customHeight="1" thickBot="1" x14ac:dyDescent="0.3"/>
    <row r="2" spans="2:12" x14ac:dyDescent="0.25">
      <c r="B2" s="221" t="s">
        <v>11</v>
      </c>
      <c r="C2" s="222"/>
      <c r="D2" s="222"/>
      <c r="E2" s="222"/>
      <c r="F2" s="222"/>
      <c r="G2" s="222"/>
      <c r="H2" s="222"/>
      <c r="I2" s="222"/>
      <c r="J2" s="222"/>
      <c r="K2" s="222"/>
      <c r="L2" s="223"/>
    </row>
    <row r="3" spans="2:12" x14ac:dyDescent="0.25">
      <c r="B3" s="224"/>
      <c r="C3" s="225"/>
      <c r="D3" s="225"/>
      <c r="E3" s="225"/>
      <c r="F3" s="225"/>
      <c r="G3" s="225"/>
      <c r="H3" s="225"/>
      <c r="I3" s="225"/>
      <c r="J3" s="225"/>
      <c r="K3" s="225"/>
      <c r="L3" s="226"/>
    </row>
    <row r="4" spans="2:12" x14ac:dyDescent="0.25">
      <c r="B4" s="224"/>
      <c r="C4" s="225"/>
      <c r="D4" s="225"/>
      <c r="E4" s="225"/>
      <c r="F4" s="225"/>
      <c r="G4" s="225"/>
      <c r="H4" s="225"/>
      <c r="I4" s="225"/>
      <c r="J4" s="225"/>
      <c r="K4" s="225"/>
      <c r="L4" s="226"/>
    </row>
    <row r="5" spans="2:12" x14ac:dyDescent="0.25">
      <c r="B5" s="224"/>
      <c r="C5" s="225"/>
      <c r="D5" s="225"/>
      <c r="E5" s="225"/>
      <c r="F5" s="225"/>
      <c r="G5" s="225"/>
      <c r="H5" s="225"/>
      <c r="I5" s="225"/>
      <c r="J5" s="225"/>
      <c r="K5" s="225"/>
      <c r="L5" s="226"/>
    </row>
    <row r="6" spans="2:12" x14ac:dyDescent="0.25">
      <c r="B6" s="224"/>
      <c r="C6" s="225"/>
      <c r="D6" s="225"/>
      <c r="E6" s="225"/>
      <c r="F6" s="225"/>
      <c r="G6" s="225"/>
      <c r="H6" s="225"/>
      <c r="I6" s="225"/>
      <c r="J6" s="225"/>
      <c r="K6" s="225"/>
      <c r="L6" s="226"/>
    </row>
    <row r="7" spans="2:12" x14ac:dyDescent="0.25">
      <c r="B7" s="224"/>
      <c r="C7" s="225"/>
      <c r="D7" s="225"/>
      <c r="E7" s="225"/>
      <c r="F7" s="225"/>
      <c r="G7" s="225"/>
      <c r="H7" s="225"/>
      <c r="I7" s="225"/>
      <c r="J7" s="225"/>
      <c r="K7" s="225"/>
      <c r="L7" s="226"/>
    </row>
    <row r="8" spans="2:12" x14ac:dyDescent="0.25">
      <c r="B8" s="224"/>
      <c r="C8" s="225"/>
      <c r="D8" s="225"/>
      <c r="E8" s="225"/>
      <c r="F8" s="225"/>
      <c r="G8" s="225"/>
      <c r="H8" s="225"/>
      <c r="I8" s="225"/>
      <c r="J8" s="225"/>
      <c r="K8" s="225"/>
      <c r="L8" s="226"/>
    </row>
    <row r="9" spans="2:12" x14ac:dyDescent="0.25">
      <c r="B9" s="224"/>
      <c r="C9" s="225"/>
      <c r="D9" s="225"/>
      <c r="E9" s="225"/>
      <c r="F9" s="225"/>
      <c r="G9" s="225"/>
      <c r="H9" s="225"/>
      <c r="I9" s="225"/>
      <c r="J9" s="225"/>
      <c r="K9" s="225"/>
      <c r="L9" s="226"/>
    </row>
    <row r="10" spans="2:12" x14ac:dyDescent="0.25">
      <c r="B10" s="224"/>
      <c r="C10" s="225"/>
      <c r="D10" s="225"/>
      <c r="E10" s="225"/>
      <c r="F10" s="225"/>
      <c r="G10" s="225"/>
      <c r="H10" s="225"/>
      <c r="I10" s="225"/>
      <c r="J10" s="225"/>
      <c r="K10" s="225"/>
      <c r="L10" s="226"/>
    </row>
    <row r="11" spans="2:12" x14ac:dyDescent="0.25">
      <c r="B11" s="224"/>
      <c r="C11" s="225"/>
      <c r="D11" s="225"/>
      <c r="E11" s="225"/>
      <c r="F11" s="225"/>
      <c r="G11" s="225"/>
      <c r="H11" s="225"/>
      <c r="I11" s="225"/>
      <c r="J11" s="225"/>
      <c r="K11" s="225"/>
      <c r="L11" s="226"/>
    </row>
    <row r="12" spans="2:12" x14ac:dyDescent="0.25">
      <c r="B12" s="224"/>
      <c r="C12" s="225"/>
      <c r="D12" s="225"/>
      <c r="E12" s="225"/>
      <c r="F12" s="225"/>
      <c r="G12" s="225"/>
      <c r="H12" s="225"/>
      <c r="I12" s="225"/>
      <c r="J12" s="225"/>
      <c r="K12" s="225"/>
      <c r="L12" s="226"/>
    </row>
    <row r="13" spans="2:12" x14ac:dyDescent="0.25">
      <c r="B13" s="224"/>
      <c r="C13" s="225"/>
      <c r="D13" s="225"/>
      <c r="E13" s="225"/>
      <c r="F13" s="225"/>
      <c r="G13" s="225"/>
      <c r="H13" s="225"/>
      <c r="I13" s="225"/>
      <c r="J13" s="225"/>
      <c r="K13" s="225"/>
      <c r="L13" s="226"/>
    </row>
    <row r="14" spans="2:12" x14ac:dyDescent="0.25">
      <c r="B14" s="224"/>
      <c r="C14" s="225"/>
      <c r="D14" s="225"/>
      <c r="E14" s="225"/>
      <c r="F14" s="225"/>
      <c r="G14" s="225"/>
      <c r="H14" s="225"/>
      <c r="I14" s="225"/>
      <c r="J14" s="225"/>
      <c r="K14" s="225"/>
      <c r="L14" s="226"/>
    </row>
    <row r="15" spans="2:12" x14ac:dyDescent="0.25">
      <c r="B15" s="224"/>
      <c r="C15" s="225"/>
      <c r="D15" s="225"/>
      <c r="E15" s="225"/>
      <c r="F15" s="225"/>
      <c r="G15" s="225"/>
      <c r="H15" s="225"/>
      <c r="I15" s="225"/>
      <c r="J15" s="225"/>
      <c r="K15" s="225"/>
      <c r="L15" s="226"/>
    </row>
    <row r="16" spans="2:12" x14ac:dyDescent="0.25">
      <c r="B16" s="224"/>
      <c r="C16" s="225"/>
      <c r="D16" s="225"/>
      <c r="E16" s="225"/>
      <c r="F16" s="225"/>
      <c r="G16" s="225"/>
      <c r="H16" s="225"/>
      <c r="I16" s="225"/>
      <c r="J16" s="225"/>
      <c r="K16" s="225"/>
      <c r="L16" s="226"/>
    </row>
    <row r="17" spans="2:12" x14ac:dyDescent="0.25">
      <c r="B17" s="224"/>
      <c r="C17" s="225"/>
      <c r="D17" s="225"/>
      <c r="E17" s="225"/>
      <c r="F17" s="225"/>
      <c r="G17" s="225"/>
      <c r="H17" s="225"/>
      <c r="I17" s="225"/>
      <c r="J17" s="225"/>
      <c r="K17" s="225"/>
      <c r="L17" s="226"/>
    </row>
    <row r="18" spans="2:12" x14ac:dyDescent="0.25">
      <c r="B18" s="224"/>
      <c r="C18" s="225"/>
      <c r="D18" s="225"/>
      <c r="E18" s="225"/>
      <c r="F18" s="225"/>
      <c r="G18" s="225"/>
      <c r="H18" s="225"/>
      <c r="I18" s="225"/>
      <c r="J18" s="225"/>
      <c r="K18" s="225"/>
      <c r="L18" s="226"/>
    </row>
    <row r="19" spans="2:12" x14ac:dyDescent="0.25">
      <c r="B19" s="224"/>
      <c r="C19" s="225"/>
      <c r="D19" s="225"/>
      <c r="E19" s="225"/>
      <c r="F19" s="225"/>
      <c r="G19" s="225"/>
      <c r="H19" s="225"/>
      <c r="I19" s="225"/>
      <c r="J19" s="225"/>
      <c r="K19" s="225"/>
      <c r="L19" s="226"/>
    </row>
    <row r="20" spans="2:12" x14ac:dyDescent="0.25">
      <c r="B20" s="224"/>
      <c r="C20" s="225"/>
      <c r="D20" s="225"/>
      <c r="E20" s="225"/>
      <c r="F20" s="225"/>
      <c r="G20" s="225"/>
      <c r="H20" s="225"/>
      <c r="I20" s="225"/>
      <c r="J20" s="225"/>
      <c r="K20" s="225"/>
      <c r="L20" s="226"/>
    </row>
    <row r="21" spans="2:12" x14ac:dyDescent="0.25">
      <c r="B21" s="224"/>
      <c r="C21" s="225"/>
      <c r="D21" s="225"/>
      <c r="E21" s="225"/>
      <c r="F21" s="225"/>
      <c r="G21" s="225"/>
      <c r="H21" s="225"/>
      <c r="I21" s="225"/>
      <c r="J21" s="225"/>
      <c r="K21" s="225"/>
      <c r="L21" s="226"/>
    </row>
    <row r="22" spans="2:12" x14ac:dyDescent="0.25">
      <c r="B22" s="224"/>
      <c r="C22" s="225"/>
      <c r="D22" s="225"/>
      <c r="E22" s="225"/>
      <c r="F22" s="225"/>
      <c r="G22" s="225"/>
      <c r="H22" s="225"/>
      <c r="I22" s="225"/>
      <c r="J22" s="225"/>
      <c r="K22" s="225"/>
      <c r="L22" s="226"/>
    </row>
    <row r="23" spans="2:12" x14ac:dyDescent="0.25">
      <c r="B23" s="224"/>
      <c r="C23" s="225"/>
      <c r="D23" s="225"/>
      <c r="E23" s="225"/>
      <c r="F23" s="225"/>
      <c r="G23" s="225"/>
      <c r="H23" s="225"/>
      <c r="I23" s="225"/>
      <c r="J23" s="225"/>
      <c r="K23" s="225"/>
      <c r="L23" s="226"/>
    </row>
    <row r="24" spans="2:12" x14ac:dyDescent="0.25">
      <c r="B24" s="224"/>
      <c r="C24" s="225"/>
      <c r="D24" s="225"/>
      <c r="E24" s="225"/>
      <c r="F24" s="225"/>
      <c r="G24" s="225"/>
      <c r="H24" s="225"/>
      <c r="I24" s="225"/>
      <c r="J24" s="225"/>
      <c r="K24" s="225"/>
      <c r="L24" s="226"/>
    </row>
    <row r="25" spans="2:12" x14ac:dyDescent="0.25">
      <c r="B25" s="224"/>
      <c r="C25" s="225"/>
      <c r="D25" s="225"/>
      <c r="E25" s="225"/>
      <c r="F25" s="225"/>
      <c r="G25" s="225"/>
      <c r="H25" s="225"/>
      <c r="I25" s="225"/>
      <c r="J25" s="225"/>
      <c r="K25" s="225"/>
      <c r="L25" s="226"/>
    </row>
    <row r="26" spans="2:12" x14ac:dyDescent="0.25">
      <c r="B26" s="224"/>
      <c r="C26" s="225"/>
      <c r="D26" s="225"/>
      <c r="E26" s="225"/>
      <c r="F26" s="225"/>
      <c r="G26" s="225"/>
      <c r="H26" s="225"/>
      <c r="I26" s="225"/>
      <c r="J26" s="225"/>
      <c r="K26" s="225"/>
      <c r="L26" s="226"/>
    </row>
    <row r="27" spans="2:12" x14ac:dyDescent="0.25">
      <c r="B27" s="224"/>
      <c r="C27" s="225"/>
      <c r="D27" s="225"/>
      <c r="E27" s="225"/>
      <c r="F27" s="225"/>
      <c r="G27" s="225"/>
      <c r="H27" s="225"/>
      <c r="I27" s="225"/>
      <c r="J27" s="225"/>
      <c r="K27" s="225"/>
      <c r="L27" s="226"/>
    </row>
    <row r="28" spans="2:12" x14ac:dyDescent="0.25">
      <c r="B28" s="224"/>
      <c r="C28" s="225"/>
      <c r="D28" s="225"/>
      <c r="E28" s="225"/>
      <c r="F28" s="225"/>
      <c r="G28" s="225"/>
      <c r="H28" s="225"/>
      <c r="I28" s="225"/>
      <c r="J28" s="225"/>
      <c r="K28" s="225"/>
      <c r="L28" s="226"/>
    </row>
    <row r="29" spans="2:12" x14ac:dyDescent="0.25">
      <c r="B29" s="224"/>
      <c r="C29" s="225"/>
      <c r="D29" s="225"/>
      <c r="E29" s="225"/>
      <c r="F29" s="225"/>
      <c r="G29" s="225"/>
      <c r="H29" s="225"/>
      <c r="I29" s="225"/>
      <c r="J29" s="225"/>
      <c r="K29" s="225"/>
      <c r="L29" s="226"/>
    </row>
    <row r="30" spans="2:12" x14ac:dyDescent="0.25">
      <c r="B30" s="224"/>
      <c r="C30" s="225"/>
      <c r="D30" s="225"/>
      <c r="E30" s="225"/>
      <c r="F30" s="225"/>
      <c r="G30" s="225"/>
      <c r="H30" s="225"/>
      <c r="I30" s="225"/>
      <c r="J30" s="225"/>
      <c r="K30" s="225"/>
      <c r="L30" s="226"/>
    </row>
    <row r="31" spans="2:12" x14ac:dyDescent="0.25">
      <c r="B31" s="224"/>
      <c r="C31" s="225"/>
      <c r="D31" s="225"/>
      <c r="E31" s="225"/>
      <c r="F31" s="225"/>
      <c r="G31" s="225"/>
      <c r="H31" s="225"/>
      <c r="I31" s="225"/>
      <c r="J31" s="225"/>
      <c r="K31" s="225"/>
      <c r="L31" s="226"/>
    </row>
    <row r="32" spans="2:12" x14ac:dyDescent="0.25">
      <c r="B32" s="224"/>
      <c r="C32" s="225"/>
      <c r="D32" s="225"/>
      <c r="E32" s="225"/>
      <c r="F32" s="225"/>
      <c r="G32" s="225"/>
      <c r="H32" s="225"/>
      <c r="I32" s="225"/>
      <c r="J32" s="225"/>
      <c r="K32" s="225"/>
      <c r="L32" s="226"/>
    </row>
    <row r="33" spans="2:12" x14ac:dyDescent="0.25">
      <c r="B33" s="224"/>
      <c r="C33" s="225"/>
      <c r="D33" s="225"/>
      <c r="E33" s="225"/>
      <c r="F33" s="225"/>
      <c r="G33" s="225"/>
      <c r="H33" s="225"/>
      <c r="I33" s="225"/>
      <c r="J33" s="225"/>
      <c r="K33" s="225"/>
      <c r="L33" s="226"/>
    </row>
    <row r="34" spans="2:12" x14ac:dyDescent="0.25">
      <c r="B34" s="224"/>
      <c r="C34" s="225"/>
      <c r="D34" s="225"/>
      <c r="E34" s="225"/>
      <c r="F34" s="225"/>
      <c r="G34" s="225"/>
      <c r="H34" s="225"/>
      <c r="I34" s="225"/>
      <c r="J34" s="225"/>
      <c r="K34" s="225"/>
      <c r="L34" s="226"/>
    </row>
    <row r="35" spans="2:12" x14ac:dyDescent="0.25">
      <c r="B35" s="224"/>
      <c r="C35" s="225"/>
      <c r="D35" s="225"/>
      <c r="E35" s="225"/>
      <c r="F35" s="225"/>
      <c r="G35" s="225"/>
      <c r="H35" s="225"/>
      <c r="I35" s="225"/>
      <c r="J35" s="225"/>
      <c r="K35" s="225"/>
      <c r="L35" s="226"/>
    </row>
    <row r="36" spans="2:12" x14ac:dyDescent="0.25">
      <c r="B36" s="224"/>
      <c r="C36" s="225"/>
      <c r="D36" s="225"/>
      <c r="E36" s="225"/>
      <c r="F36" s="225"/>
      <c r="G36" s="225"/>
      <c r="H36" s="225"/>
      <c r="I36" s="225"/>
      <c r="J36" s="225"/>
      <c r="K36" s="225"/>
      <c r="L36" s="226"/>
    </row>
    <row r="37" spans="2:12" x14ac:dyDescent="0.25">
      <c r="B37" s="224"/>
      <c r="C37" s="225"/>
      <c r="D37" s="225"/>
      <c r="E37" s="225"/>
      <c r="F37" s="225"/>
      <c r="G37" s="225"/>
      <c r="H37" s="225"/>
      <c r="I37" s="225"/>
      <c r="J37" s="225"/>
      <c r="K37" s="225"/>
      <c r="L37" s="226"/>
    </row>
    <row r="38" spans="2:12" x14ac:dyDescent="0.25">
      <c r="B38" s="224"/>
      <c r="C38" s="225"/>
      <c r="D38" s="225"/>
      <c r="E38" s="225"/>
      <c r="F38" s="225"/>
      <c r="G38" s="225"/>
      <c r="H38" s="225"/>
      <c r="I38" s="225"/>
      <c r="J38" s="225"/>
      <c r="K38" s="225"/>
      <c r="L38" s="226"/>
    </row>
    <row r="39" spans="2:12" x14ac:dyDescent="0.25">
      <c r="B39" s="224"/>
      <c r="C39" s="225"/>
      <c r="D39" s="225"/>
      <c r="E39" s="225"/>
      <c r="F39" s="225"/>
      <c r="G39" s="225"/>
      <c r="H39" s="225"/>
      <c r="I39" s="225"/>
      <c r="J39" s="225"/>
      <c r="K39" s="225"/>
      <c r="L39" s="226"/>
    </row>
    <row r="40" spans="2:12" x14ac:dyDescent="0.25">
      <c r="B40" s="224"/>
      <c r="C40" s="225"/>
      <c r="D40" s="225"/>
      <c r="E40" s="225"/>
      <c r="F40" s="225"/>
      <c r="G40" s="225"/>
      <c r="H40" s="225"/>
      <c r="I40" s="225"/>
      <c r="J40" s="225"/>
      <c r="K40" s="225"/>
      <c r="L40" s="226"/>
    </row>
    <row r="41" spans="2:12" x14ac:dyDescent="0.25">
      <c r="B41" s="224"/>
      <c r="C41" s="225"/>
      <c r="D41" s="225"/>
      <c r="E41" s="225"/>
      <c r="F41" s="225"/>
      <c r="G41" s="225"/>
      <c r="H41" s="225"/>
      <c r="I41" s="225"/>
      <c r="J41" s="225"/>
      <c r="K41" s="225"/>
      <c r="L41" s="226"/>
    </row>
    <row r="42" spans="2:12" x14ac:dyDescent="0.25">
      <c r="B42" s="224"/>
      <c r="C42" s="225"/>
      <c r="D42" s="225"/>
      <c r="E42" s="225"/>
      <c r="F42" s="225"/>
      <c r="G42" s="225"/>
      <c r="H42" s="225"/>
      <c r="I42" s="225"/>
      <c r="J42" s="225"/>
      <c r="K42" s="225"/>
      <c r="L42" s="226"/>
    </row>
    <row r="43" spans="2:12" x14ac:dyDescent="0.25">
      <c r="B43" s="224"/>
      <c r="C43" s="225"/>
      <c r="D43" s="225"/>
      <c r="E43" s="225"/>
      <c r="F43" s="225"/>
      <c r="G43" s="225"/>
      <c r="H43" s="225"/>
      <c r="I43" s="225"/>
      <c r="J43" s="225"/>
      <c r="K43" s="225"/>
      <c r="L43" s="226"/>
    </row>
    <row r="44" spans="2:12" x14ac:dyDescent="0.25">
      <c r="B44" s="224"/>
      <c r="C44" s="225"/>
      <c r="D44" s="225"/>
      <c r="E44" s="225"/>
      <c r="F44" s="225"/>
      <c r="G44" s="225"/>
      <c r="H44" s="225"/>
      <c r="I44" s="225"/>
      <c r="J44" s="225"/>
      <c r="K44" s="225"/>
      <c r="L44" s="226"/>
    </row>
    <row r="45" spans="2:12" x14ac:dyDescent="0.25">
      <c r="B45" s="224"/>
      <c r="C45" s="225"/>
      <c r="D45" s="225"/>
      <c r="E45" s="225"/>
      <c r="F45" s="225"/>
      <c r="G45" s="225"/>
      <c r="H45" s="225"/>
      <c r="I45" s="225"/>
      <c r="J45" s="225"/>
      <c r="K45" s="225"/>
      <c r="L45" s="226"/>
    </row>
    <row r="46" spans="2:12" x14ac:dyDescent="0.25">
      <c r="B46" s="224"/>
      <c r="C46" s="225"/>
      <c r="D46" s="225"/>
      <c r="E46" s="225"/>
      <c r="F46" s="225"/>
      <c r="G46" s="225"/>
      <c r="H46" s="225"/>
      <c r="I46" s="225"/>
      <c r="J46" s="225"/>
      <c r="K46" s="225"/>
      <c r="L46" s="226"/>
    </row>
    <row r="47" spans="2:12" x14ac:dyDescent="0.25">
      <c r="B47" s="224"/>
      <c r="C47" s="225"/>
      <c r="D47" s="225"/>
      <c r="E47" s="225"/>
      <c r="F47" s="225"/>
      <c r="G47" s="225"/>
      <c r="H47" s="225"/>
      <c r="I47" s="225"/>
      <c r="J47" s="225"/>
      <c r="K47" s="225"/>
      <c r="L47" s="226"/>
    </row>
    <row r="48" spans="2:12" x14ac:dyDescent="0.25">
      <c r="B48" s="224"/>
      <c r="C48" s="225"/>
      <c r="D48" s="225"/>
      <c r="E48" s="225"/>
      <c r="F48" s="225"/>
      <c r="G48" s="225"/>
      <c r="H48" s="225"/>
      <c r="I48" s="225"/>
      <c r="J48" s="225"/>
      <c r="K48" s="225"/>
      <c r="L48" s="226"/>
    </row>
    <row r="49" spans="2:12" x14ac:dyDescent="0.25">
      <c r="B49" s="224"/>
      <c r="C49" s="225"/>
      <c r="D49" s="225"/>
      <c r="E49" s="225"/>
      <c r="F49" s="225"/>
      <c r="G49" s="225"/>
      <c r="H49" s="225"/>
      <c r="I49" s="225"/>
      <c r="J49" s="225"/>
      <c r="K49" s="225"/>
      <c r="L49" s="226"/>
    </row>
    <row r="50" spans="2:12" ht="13.8" thickBot="1" x14ac:dyDescent="0.3">
      <c r="B50" s="227"/>
      <c r="C50" s="228"/>
      <c r="D50" s="228"/>
      <c r="E50" s="228"/>
      <c r="F50" s="228"/>
      <c r="G50" s="228"/>
      <c r="H50" s="228"/>
      <c r="I50" s="228"/>
      <c r="J50" s="228"/>
      <c r="K50" s="228"/>
      <c r="L50" s="229"/>
    </row>
  </sheetData>
  <mergeCells count="1">
    <mergeCell ref="B2:L50"/>
  </mergeCells>
  <printOptions horizontalCentered="1"/>
  <pageMargins left="0.78740157480314965" right="0.78740157480314965" top="0.78740157480314965" bottom="0.59055118110236227" header="0.51181102362204722" footer="0.31496062992125984"/>
  <pageSetup paperSize="9" scale="73" orientation="portrait" r:id="rId1"/>
  <headerFooter alignWithMargins="0">
    <oddHeader>&amp;R&amp;"Calibri"&amp;7&amp;K000000 Security level: RINA/CL/SENSITIVE&amp;1#_x000D_</oddHeader>
    <oddFooter>&amp;L_x000D_&amp;1#&amp;"Trebuchet MS"&amp;9&amp;K737373 PÚBLICA&amp;C&amp;"Calibri"&amp;11&amp;K000000Página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R48"/>
  <sheetViews>
    <sheetView showGridLines="0" view="pageBreakPreview" zoomScale="89" zoomScaleNormal="100" zoomScaleSheetLayoutView="89" workbookViewId="0"/>
  </sheetViews>
  <sheetFormatPr defaultColWidth="9.109375" defaultRowHeight="17.399999999999999" x14ac:dyDescent="0.3"/>
  <cols>
    <col min="1" max="1" width="3.6640625" style="20" customWidth="1"/>
    <col min="2" max="17" width="8.6640625" style="20" customWidth="1"/>
    <col min="18" max="18" width="18.5546875" style="20" customWidth="1"/>
    <col min="19" max="16384" width="9.109375" style="20"/>
  </cols>
  <sheetData>
    <row r="3" spans="2:18" x14ac:dyDescent="0.3">
      <c r="B3" s="243" t="s">
        <v>12</v>
      </c>
      <c r="C3" s="243"/>
      <c r="D3" s="243"/>
      <c r="E3" s="243"/>
      <c r="F3" s="243"/>
      <c r="G3" s="243"/>
      <c r="H3" s="243"/>
      <c r="I3" s="243"/>
      <c r="J3" s="243"/>
      <c r="K3" s="243"/>
      <c r="L3" s="243"/>
      <c r="M3" s="243"/>
      <c r="N3" s="243"/>
      <c r="O3" s="243"/>
      <c r="P3" s="243"/>
      <c r="Q3" s="19"/>
    </row>
    <row r="4" spans="2:18" x14ac:dyDescent="0.3">
      <c r="B4" s="21"/>
      <c r="C4" s="21"/>
      <c r="D4" s="21"/>
      <c r="E4" s="21"/>
      <c r="F4" s="21"/>
      <c r="G4" s="21"/>
      <c r="H4" s="21"/>
      <c r="I4" s="21"/>
      <c r="J4" s="22"/>
      <c r="K4" s="22"/>
      <c r="Q4" s="23" t="s">
        <v>13</v>
      </c>
    </row>
    <row r="5" spans="2:18" ht="15" customHeight="1" x14ac:dyDescent="0.3">
      <c r="B5" s="52" t="s">
        <v>14</v>
      </c>
      <c r="C5" s="244" t="s">
        <v>15</v>
      </c>
      <c r="D5" s="245"/>
      <c r="E5" s="245"/>
      <c r="F5" s="245"/>
      <c r="G5" s="245"/>
      <c r="H5" s="245"/>
      <c r="I5" s="245"/>
      <c r="J5" s="245"/>
      <c r="K5" s="245"/>
      <c r="L5" s="245"/>
      <c r="M5" s="245"/>
      <c r="N5" s="245"/>
      <c r="O5" s="245"/>
      <c r="P5" s="245"/>
      <c r="Q5" s="24"/>
    </row>
    <row r="6" spans="2:18" ht="15" customHeight="1" x14ac:dyDescent="0.3">
      <c r="B6" s="51">
        <v>0</v>
      </c>
      <c r="C6" s="24" t="s">
        <v>16</v>
      </c>
      <c r="D6" s="24"/>
      <c r="E6" s="24"/>
      <c r="F6" s="24"/>
      <c r="G6" s="24"/>
      <c r="H6" s="24"/>
      <c r="I6" s="24"/>
      <c r="J6" s="26"/>
      <c r="K6" s="26"/>
      <c r="L6" s="27"/>
      <c r="M6" s="27"/>
      <c r="N6" s="27"/>
      <c r="O6" s="27"/>
      <c r="P6" s="27"/>
      <c r="Q6" s="25">
        <v>0</v>
      </c>
      <c r="R6" s="28">
        <v>0</v>
      </c>
    </row>
    <row r="7" spans="2:18" ht="15" customHeight="1" x14ac:dyDescent="0.3">
      <c r="B7" s="25">
        <v>1</v>
      </c>
      <c r="C7" s="244" t="s">
        <v>17</v>
      </c>
      <c r="D7" s="245"/>
      <c r="E7" s="245"/>
      <c r="F7" s="245"/>
      <c r="G7" s="245"/>
      <c r="H7" s="245"/>
      <c r="I7" s="245"/>
      <c r="J7" s="245"/>
      <c r="K7" s="245"/>
      <c r="L7" s="245"/>
      <c r="M7" s="245"/>
      <c r="N7" s="245"/>
      <c r="O7" s="245"/>
      <c r="P7" s="245"/>
      <c r="Q7" s="25">
        <v>1</v>
      </c>
      <c r="R7" s="29">
        <v>0.2</v>
      </c>
    </row>
    <row r="8" spans="2:18" ht="15" customHeight="1" x14ac:dyDescent="0.3">
      <c r="B8" s="30">
        <v>2</v>
      </c>
      <c r="C8" s="244" t="s">
        <v>18</v>
      </c>
      <c r="D8" s="245"/>
      <c r="E8" s="245"/>
      <c r="F8" s="245"/>
      <c r="G8" s="245"/>
      <c r="H8" s="245"/>
      <c r="I8" s="245"/>
      <c r="J8" s="245"/>
      <c r="K8" s="245"/>
      <c r="L8" s="245"/>
      <c r="M8" s="245"/>
      <c r="N8" s="245"/>
      <c r="O8" s="245"/>
      <c r="P8" s="245"/>
      <c r="Q8" s="30">
        <v>2</v>
      </c>
      <c r="R8" s="29">
        <v>0.5</v>
      </c>
    </row>
    <row r="9" spans="2:18" ht="15" customHeight="1" x14ac:dyDescent="0.3">
      <c r="B9" s="31">
        <v>3</v>
      </c>
      <c r="C9" s="244" t="s">
        <v>19</v>
      </c>
      <c r="D9" s="245"/>
      <c r="E9" s="245"/>
      <c r="F9" s="245"/>
      <c r="G9" s="245"/>
      <c r="H9" s="245"/>
      <c r="I9" s="245"/>
      <c r="J9" s="245"/>
      <c r="K9" s="245"/>
      <c r="L9" s="245"/>
      <c r="M9" s="245"/>
      <c r="N9" s="245"/>
      <c r="O9" s="245"/>
      <c r="P9" s="245"/>
      <c r="Q9" s="31">
        <v>3</v>
      </c>
      <c r="R9" s="29">
        <v>0.9</v>
      </c>
    </row>
    <row r="10" spans="2:18" ht="15" customHeight="1" x14ac:dyDescent="0.3">
      <c r="B10" s="32">
        <v>4</v>
      </c>
      <c r="C10" s="24" t="s">
        <v>20</v>
      </c>
      <c r="D10" s="24"/>
      <c r="E10" s="24"/>
      <c r="F10" s="24"/>
      <c r="G10" s="24"/>
      <c r="H10" s="24"/>
      <c r="I10" s="24"/>
      <c r="J10" s="24"/>
      <c r="K10" s="24"/>
      <c r="L10" s="24"/>
      <c r="M10" s="24"/>
      <c r="N10" s="24"/>
      <c r="O10" s="24"/>
      <c r="P10" s="24"/>
      <c r="Q10" s="32">
        <v>4</v>
      </c>
      <c r="R10" s="29">
        <v>1</v>
      </c>
    </row>
    <row r="11" spans="2:18" ht="15" customHeight="1" x14ac:dyDescent="0.3">
      <c r="B11" s="33"/>
      <c r="C11" s="33"/>
      <c r="D11" s="33"/>
      <c r="E11" s="33"/>
      <c r="F11" s="33"/>
      <c r="G11" s="33"/>
      <c r="H11" s="33"/>
      <c r="I11" s="33"/>
      <c r="J11" s="33"/>
      <c r="K11" s="33"/>
      <c r="L11" s="33"/>
      <c r="M11" s="33"/>
      <c r="N11" s="33"/>
      <c r="O11" s="33"/>
      <c r="P11" s="33"/>
      <c r="Q11" s="33"/>
      <c r="R11" s="33"/>
    </row>
    <row r="12" spans="2:18" ht="15" customHeight="1" x14ac:dyDescent="0.3">
      <c r="B12" s="237" t="s">
        <v>21</v>
      </c>
      <c r="C12" s="237"/>
      <c r="D12" s="237"/>
      <c r="E12" s="237"/>
      <c r="F12" s="237"/>
      <c r="G12" s="237"/>
      <c r="H12" s="237"/>
      <c r="I12" s="237"/>
      <c r="J12" s="237"/>
      <c r="K12" s="237"/>
      <c r="L12" s="237"/>
      <c r="M12" s="237"/>
      <c r="N12" s="237"/>
      <c r="O12" s="237"/>
      <c r="P12" s="237"/>
      <c r="Q12" s="34"/>
      <c r="R12" s="33"/>
    </row>
    <row r="13" spans="2:18" ht="15" customHeight="1" x14ac:dyDescent="0.3">
      <c r="B13" s="33"/>
      <c r="C13" s="35"/>
      <c r="D13" s="35"/>
      <c r="E13" s="35"/>
      <c r="F13" s="35"/>
      <c r="G13" s="35"/>
      <c r="H13" s="35"/>
      <c r="I13" s="35"/>
      <c r="J13" s="33"/>
      <c r="K13" s="33"/>
      <c r="L13" s="33"/>
      <c r="M13" s="33"/>
      <c r="N13" s="33"/>
      <c r="O13" s="33"/>
      <c r="P13" s="33"/>
      <c r="Q13" s="33"/>
      <c r="R13" s="33"/>
    </row>
    <row r="14" spans="2:18" ht="15" customHeight="1" x14ac:dyDescent="0.3">
      <c r="B14" s="52" t="s">
        <v>14</v>
      </c>
      <c r="C14" s="238" t="s">
        <v>22</v>
      </c>
      <c r="D14" s="239"/>
      <c r="E14" s="239"/>
      <c r="F14" s="239"/>
      <c r="G14" s="239"/>
      <c r="H14" s="239"/>
      <c r="I14" s="239"/>
      <c r="J14" s="239"/>
      <c r="K14" s="239"/>
      <c r="L14" s="239"/>
      <c r="M14" s="239"/>
      <c r="N14" s="239"/>
      <c r="O14" s="239"/>
      <c r="P14" s="240"/>
      <c r="Q14" s="36"/>
      <c r="R14" s="33"/>
    </row>
    <row r="15" spans="2:18" ht="137.25" customHeight="1" x14ac:dyDescent="0.3">
      <c r="B15" s="53" t="s">
        <v>23</v>
      </c>
      <c r="C15" s="241" t="s">
        <v>24</v>
      </c>
      <c r="D15" s="241"/>
      <c r="E15" s="241"/>
      <c r="F15" s="241"/>
      <c r="G15" s="241"/>
      <c r="H15" s="241"/>
      <c r="I15" s="241"/>
      <c r="J15" s="241"/>
      <c r="K15" s="241"/>
      <c r="L15" s="241"/>
      <c r="M15" s="241"/>
      <c r="N15" s="241"/>
      <c r="O15" s="241"/>
      <c r="P15" s="241"/>
      <c r="Q15" s="38"/>
      <c r="R15" s="33"/>
    </row>
    <row r="16" spans="2:18" ht="141" customHeight="1" x14ac:dyDescent="0.3">
      <c r="B16" s="37" t="s">
        <v>25</v>
      </c>
      <c r="C16" s="241" t="s">
        <v>26</v>
      </c>
      <c r="D16" s="236"/>
      <c r="E16" s="236"/>
      <c r="F16" s="236"/>
      <c r="G16" s="236"/>
      <c r="H16" s="236"/>
      <c r="I16" s="236"/>
      <c r="J16" s="236"/>
      <c r="K16" s="236"/>
      <c r="L16" s="236"/>
      <c r="M16" s="236"/>
      <c r="N16" s="236"/>
      <c r="O16" s="236"/>
      <c r="P16" s="236"/>
      <c r="Q16" s="36"/>
      <c r="R16" s="33"/>
    </row>
    <row r="17" spans="2:18" ht="97.5" customHeight="1" x14ac:dyDescent="0.3">
      <c r="B17" s="39" t="s">
        <v>27</v>
      </c>
      <c r="C17" s="241" t="s">
        <v>28</v>
      </c>
      <c r="D17" s="236"/>
      <c r="E17" s="236"/>
      <c r="F17" s="236"/>
      <c r="G17" s="236"/>
      <c r="H17" s="236"/>
      <c r="I17" s="236"/>
      <c r="J17" s="236"/>
      <c r="K17" s="236"/>
      <c r="L17" s="236"/>
      <c r="M17" s="236"/>
      <c r="N17" s="236"/>
      <c r="O17" s="236"/>
      <c r="P17" s="236"/>
      <c r="Q17" s="36"/>
      <c r="R17" s="33"/>
    </row>
    <row r="18" spans="2:18" ht="97.5" customHeight="1" x14ac:dyDescent="0.3">
      <c r="B18" s="40" t="s">
        <v>29</v>
      </c>
      <c r="C18" s="242" t="s">
        <v>30</v>
      </c>
      <c r="D18" s="239"/>
      <c r="E18" s="239"/>
      <c r="F18" s="239"/>
      <c r="G18" s="239"/>
      <c r="H18" s="239"/>
      <c r="I18" s="239"/>
      <c r="J18" s="239"/>
      <c r="K18" s="239"/>
      <c r="L18" s="239"/>
      <c r="M18" s="239"/>
      <c r="N18" s="239"/>
      <c r="O18" s="239"/>
      <c r="P18" s="240"/>
      <c r="Q18" s="36"/>
      <c r="R18" s="33"/>
    </row>
    <row r="19" spans="2:18" ht="18" customHeight="1" x14ac:dyDescent="0.3">
      <c r="B19" s="41" t="s">
        <v>31</v>
      </c>
      <c r="C19" s="236" t="s">
        <v>32</v>
      </c>
      <c r="D19" s="236"/>
      <c r="E19" s="236"/>
      <c r="F19" s="236"/>
      <c r="G19" s="236"/>
      <c r="H19" s="236"/>
      <c r="I19" s="236"/>
      <c r="J19" s="236"/>
      <c r="K19" s="236"/>
      <c r="L19" s="236"/>
      <c r="M19" s="236"/>
      <c r="N19" s="236"/>
      <c r="O19" s="236"/>
      <c r="P19" s="236"/>
      <c r="Q19" s="36"/>
      <c r="R19" s="33"/>
    </row>
    <row r="20" spans="2:18" ht="18.75" customHeight="1" x14ac:dyDescent="0.3">
      <c r="B20" s="42" t="s">
        <v>33</v>
      </c>
      <c r="C20" s="236" t="s">
        <v>34</v>
      </c>
      <c r="D20" s="236"/>
      <c r="E20" s="236"/>
      <c r="F20" s="236"/>
      <c r="G20" s="236"/>
      <c r="H20" s="236"/>
      <c r="I20" s="236"/>
      <c r="J20" s="236"/>
      <c r="K20" s="236"/>
      <c r="L20" s="236"/>
      <c r="M20" s="236"/>
      <c r="N20" s="236"/>
      <c r="O20" s="236"/>
      <c r="P20" s="236"/>
      <c r="Q20" s="36"/>
      <c r="R20" s="33"/>
    </row>
    <row r="21" spans="2:18" ht="15" customHeight="1" x14ac:dyDescent="0.3">
      <c r="B21" s="33"/>
      <c r="C21" s="35"/>
      <c r="D21" s="35"/>
      <c r="E21" s="35"/>
      <c r="F21" s="35"/>
      <c r="G21" s="35"/>
      <c r="H21" s="35"/>
      <c r="I21" s="35"/>
      <c r="J21" s="33"/>
      <c r="K21" s="33"/>
      <c r="L21" s="33"/>
      <c r="M21" s="33"/>
      <c r="N21" s="33"/>
      <c r="O21" s="33"/>
      <c r="P21" s="33"/>
      <c r="Q21" s="33"/>
      <c r="R21" s="33"/>
    </row>
    <row r="22" spans="2:18" ht="15" customHeight="1" x14ac:dyDescent="0.3">
      <c r="B22" s="233" t="s">
        <v>35</v>
      </c>
      <c r="C22" s="233"/>
      <c r="D22" s="233"/>
      <c r="E22" s="233"/>
      <c r="F22" s="233"/>
      <c r="G22" s="233"/>
      <c r="H22" s="233"/>
      <c r="I22" s="233"/>
      <c r="J22" s="233"/>
      <c r="K22" s="233"/>
      <c r="L22" s="233"/>
      <c r="M22" s="233"/>
      <c r="N22" s="233"/>
      <c r="O22" s="233"/>
      <c r="P22" s="233"/>
      <c r="Q22" s="233"/>
      <c r="R22" s="33"/>
    </row>
    <row r="23" spans="2:18" ht="15" customHeight="1" x14ac:dyDescent="0.3">
      <c r="B23" s="233"/>
      <c r="C23" s="233"/>
      <c r="D23" s="233"/>
      <c r="E23" s="233"/>
      <c r="F23" s="233"/>
      <c r="G23" s="233"/>
      <c r="H23" s="233"/>
      <c r="I23" s="233"/>
      <c r="J23" s="233"/>
      <c r="K23" s="233"/>
      <c r="L23" s="233"/>
      <c r="M23" s="233"/>
      <c r="N23" s="233"/>
      <c r="O23" s="233"/>
      <c r="P23" s="233"/>
      <c r="Q23" s="233"/>
      <c r="R23" s="33"/>
    </row>
    <row r="24" spans="2:18" ht="15" customHeight="1" x14ac:dyDescent="0.3">
      <c r="B24" s="44"/>
      <c r="C24" s="44"/>
      <c r="D24" s="44"/>
      <c r="E24" s="44"/>
      <c r="F24" s="44"/>
      <c r="G24" s="44"/>
      <c r="H24" s="44"/>
      <c r="I24" s="44"/>
      <c r="J24" s="44"/>
      <c r="K24" s="44"/>
      <c r="L24" s="44"/>
      <c r="M24" s="44"/>
      <c r="N24" s="44"/>
      <c r="O24" s="44"/>
      <c r="P24" s="44"/>
      <c r="Q24" s="45"/>
      <c r="R24" s="33"/>
    </row>
    <row r="25" spans="2:18" ht="85.5" customHeight="1" x14ac:dyDescent="0.3">
      <c r="B25" s="233" t="s">
        <v>36</v>
      </c>
      <c r="C25" s="233"/>
      <c r="D25" s="233"/>
      <c r="E25" s="233"/>
      <c r="F25" s="233"/>
      <c r="G25" s="233"/>
      <c r="H25" s="233"/>
      <c r="I25" s="233"/>
      <c r="J25" s="233"/>
      <c r="K25" s="233"/>
      <c r="L25" s="233"/>
      <c r="M25" s="233"/>
      <c r="N25" s="233"/>
      <c r="O25" s="233"/>
      <c r="P25" s="233"/>
      <c r="Q25" s="233"/>
      <c r="R25" s="33"/>
    </row>
    <row r="26" spans="2:18" ht="4.5" customHeight="1" x14ac:dyDescent="0.3">
      <c r="B26" s="45"/>
      <c r="C26" s="45"/>
      <c r="D26" s="45"/>
      <c r="E26" s="45"/>
      <c r="F26" s="45"/>
      <c r="G26" s="45"/>
      <c r="H26" s="45"/>
      <c r="I26" s="45"/>
      <c r="J26" s="45"/>
      <c r="K26" s="45"/>
      <c r="L26" s="45"/>
      <c r="M26" s="45"/>
      <c r="N26" s="45"/>
      <c r="O26" s="45"/>
      <c r="P26" s="45"/>
      <c r="Q26" s="45"/>
      <c r="R26" s="33"/>
    </row>
    <row r="27" spans="2:18" ht="103.5" customHeight="1" x14ac:dyDescent="0.3">
      <c r="B27" s="230" t="s">
        <v>37</v>
      </c>
      <c r="C27" s="230"/>
      <c r="D27" s="230"/>
      <c r="E27" s="230"/>
      <c r="F27" s="230"/>
      <c r="G27" s="230"/>
      <c r="H27" s="230"/>
      <c r="I27" s="230"/>
      <c r="J27" s="230"/>
      <c r="K27" s="230"/>
      <c r="L27" s="230"/>
      <c r="M27" s="230"/>
      <c r="N27" s="230"/>
      <c r="O27" s="230"/>
      <c r="P27" s="230"/>
      <c r="Q27" s="230"/>
      <c r="R27" s="33"/>
    </row>
    <row r="28" spans="2:18" ht="11.25" customHeight="1" x14ac:dyDescent="0.3">
      <c r="B28" s="45"/>
      <c r="C28" s="45"/>
      <c r="D28" s="45"/>
      <c r="E28" s="45"/>
      <c r="F28" s="45"/>
      <c r="G28" s="45"/>
      <c r="H28" s="45"/>
      <c r="I28" s="45"/>
      <c r="J28" s="45"/>
      <c r="K28" s="45"/>
      <c r="L28" s="45"/>
      <c r="M28" s="45"/>
      <c r="N28" s="45"/>
      <c r="O28" s="45"/>
      <c r="P28" s="45"/>
      <c r="Q28" s="45"/>
      <c r="R28" s="33"/>
    </row>
    <row r="29" spans="2:18" ht="50.25" customHeight="1" x14ac:dyDescent="0.3">
      <c r="B29" s="231" t="s">
        <v>38</v>
      </c>
      <c r="C29" s="231"/>
      <c r="D29" s="231"/>
      <c r="E29" s="231"/>
      <c r="F29" s="231"/>
      <c r="G29" s="231"/>
      <c r="H29" s="231"/>
      <c r="I29" s="231"/>
      <c r="J29" s="231"/>
      <c r="K29" s="231"/>
      <c r="L29" s="231"/>
      <c r="M29" s="231"/>
      <c r="N29" s="231"/>
      <c r="O29" s="231"/>
      <c r="P29" s="231"/>
      <c r="Q29" s="231"/>
      <c r="R29" s="33"/>
    </row>
    <row r="30" spans="2:18" ht="4.5" customHeight="1" x14ac:dyDescent="0.3">
      <c r="B30" s="46"/>
      <c r="C30" s="46"/>
      <c r="D30" s="46"/>
      <c r="E30" s="46"/>
      <c r="F30" s="46"/>
      <c r="G30" s="46"/>
      <c r="H30" s="46"/>
      <c r="I30" s="46"/>
      <c r="J30" s="46"/>
      <c r="K30" s="46"/>
      <c r="L30" s="46"/>
      <c r="M30" s="46"/>
      <c r="N30" s="46"/>
      <c r="O30" s="46"/>
      <c r="P30" s="46"/>
      <c r="Q30" s="46"/>
      <c r="R30" s="33"/>
    </row>
    <row r="31" spans="2:18" ht="72.75" customHeight="1" x14ac:dyDescent="0.3">
      <c r="B31" s="231" t="s">
        <v>39</v>
      </c>
      <c r="C31" s="231"/>
      <c r="D31" s="231"/>
      <c r="E31" s="231"/>
      <c r="F31" s="231"/>
      <c r="G31" s="231"/>
      <c r="H31" s="231"/>
      <c r="I31" s="231"/>
      <c r="J31" s="231"/>
      <c r="K31" s="231"/>
      <c r="L31" s="231"/>
      <c r="M31" s="231"/>
      <c r="N31" s="231"/>
      <c r="O31" s="231"/>
      <c r="P31" s="231"/>
      <c r="Q31" s="231"/>
      <c r="R31" s="33"/>
    </row>
    <row r="32" spans="2:18" ht="106.5" customHeight="1" x14ac:dyDescent="0.3">
      <c r="B32" s="234" t="s">
        <v>40</v>
      </c>
      <c r="C32" s="234"/>
      <c r="D32" s="234"/>
      <c r="E32" s="234"/>
      <c r="F32" s="234"/>
      <c r="G32" s="234"/>
      <c r="H32" s="234"/>
      <c r="I32" s="234"/>
      <c r="J32" s="234"/>
      <c r="K32" s="234"/>
      <c r="L32" s="234"/>
      <c r="M32" s="234"/>
      <c r="N32" s="234"/>
      <c r="O32" s="234"/>
      <c r="P32" s="234"/>
      <c r="Q32" s="234"/>
      <c r="R32" s="33"/>
    </row>
    <row r="33" spans="2:18" ht="260.10000000000002" customHeight="1" x14ac:dyDescent="0.3">
      <c r="B33" s="234" t="s">
        <v>41</v>
      </c>
      <c r="C33" s="234"/>
      <c r="D33" s="234"/>
      <c r="E33" s="234"/>
      <c r="F33" s="234"/>
      <c r="G33" s="234"/>
      <c r="H33" s="234"/>
      <c r="I33" s="234"/>
      <c r="J33" s="234"/>
      <c r="K33" s="234"/>
      <c r="L33" s="234"/>
      <c r="M33" s="234"/>
      <c r="N33" s="234"/>
      <c r="O33" s="234"/>
      <c r="P33" s="234"/>
      <c r="Q33" s="234"/>
      <c r="R33" s="33"/>
    </row>
    <row r="34" spans="2:18" ht="16.5" customHeight="1" x14ac:dyDescent="0.3">
      <c r="B34" s="232" t="s">
        <v>42</v>
      </c>
      <c r="C34" s="232"/>
      <c r="D34" s="232"/>
      <c r="E34" s="232"/>
      <c r="F34" s="232"/>
      <c r="G34" s="232"/>
      <c r="H34" s="232"/>
      <c r="I34" s="232"/>
      <c r="J34" s="232"/>
      <c r="K34" s="232"/>
      <c r="L34" s="232"/>
      <c r="M34" s="232"/>
      <c r="N34" s="232"/>
      <c r="O34" s="232"/>
      <c r="P34" s="232"/>
      <c r="Q34" s="47"/>
      <c r="R34" s="33"/>
    </row>
    <row r="35" spans="2:18" ht="10.5" customHeight="1" x14ac:dyDescent="0.3">
      <c r="B35" s="47"/>
      <c r="C35" s="47"/>
      <c r="D35" s="47"/>
      <c r="E35" s="47"/>
      <c r="F35" s="47"/>
      <c r="G35" s="47"/>
      <c r="H35" s="47"/>
      <c r="I35" s="47"/>
      <c r="J35" s="47"/>
      <c r="K35" s="47"/>
      <c r="L35" s="47"/>
      <c r="M35" s="47"/>
      <c r="N35" s="47"/>
      <c r="O35" s="47"/>
      <c r="P35" s="47"/>
      <c r="Q35" s="47"/>
      <c r="R35" s="33"/>
    </row>
    <row r="36" spans="2:18" ht="10.5" customHeight="1" x14ac:dyDescent="0.3">
      <c r="B36" s="235" t="s">
        <v>43</v>
      </c>
      <c r="C36" s="235"/>
      <c r="D36" s="235"/>
      <c r="E36" s="235"/>
      <c r="F36" s="235"/>
      <c r="G36" s="235"/>
      <c r="H36" s="235"/>
      <c r="I36" s="235"/>
      <c r="J36" s="235"/>
      <c r="K36" s="235"/>
      <c r="L36" s="235"/>
      <c r="M36" s="235"/>
      <c r="N36" s="235"/>
      <c r="O36" s="235"/>
      <c r="P36" s="235"/>
      <c r="Q36" s="48"/>
      <c r="R36" s="33"/>
    </row>
    <row r="37" spans="2:18" ht="15" customHeight="1" x14ac:dyDescent="0.3">
      <c r="B37" s="235"/>
      <c r="C37" s="235"/>
      <c r="D37" s="235"/>
      <c r="E37" s="235"/>
      <c r="F37" s="235"/>
      <c r="G37" s="235"/>
      <c r="H37" s="235"/>
      <c r="I37" s="235"/>
      <c r="J37" s="235"/>
      <c r="K37" s="235"/>
      <c r="L37" s="235"/>
      <c r="M37" s="235"/>
      <c r="N37" s="235"/>
      <c r="O37" s="235"/>
      <c r="P37" s="235"/>
      <c r="Q37" s="48"/>
      <c r="R37" s="33"/>
    </row>
    <row r="38" spans="2:18" ht="15" customHeight="1" x14ac:dyDescent="0.3">
      <c r="B38" s="235"/>
      <c r="C38" s="235"/>
      <c r="D38" s="235"/>
      <c r="E38" s="235"/>
      <c r="F38" s="235"/>
      <c r="G38" s="235"/>
      <c r="H38" s="235"/>
      <c r="I38" s="235"/>
      <c r="J38" s="235"/>
      <c r="K38" s="235"/>
      <c r="L38" s="235"/>
      <c r="M38" s="235"/>
      <c r="N38" s="235"/>
      <c r="O38" s="235"/>
      <c r="P38" s="235"/>
      <c r="Q38" s="48"/>
      <c r="R38" s="33"/>
    </row>
    <row r="39" spans="2:18" ht="15" customHeight="1" x14ac:dyDescent="0.3">
      <c r="B39" s="233" t="s">
        <v>44</v>
      </c>
      <c r="C39" s="233"/>
      <c r="D39" s="233"/>
      <c r="E39" s="233"/>
      <c r="F39" s="233"/>
      <c r="G39" s="233"/>
      <c r="H39" s="233"/>
      <c r="I39" s="233"/>
      <c r="J39" s="233"/>
      <c r="K39" s="233"/>
      <c r="L39" s="233"/>
      <c r="M39" s="233"/>
      <c r="N39" s="233"/>
      <c r="O39" s="233"/>
      <c r="P39" s="233"/>
      <c r="Q39" s="45"/>
      <c r="R39" s="33"/>
    </row>
    <row r="40" spans="2:18" ht="15" customHeight="1" x14ac:dyDescent="0.3">
      <c r="B40" s="233"/>
      <c r="C40" s="233"/>
      <c r="D40" s="233"/>
      <c r="E40" s="233"/>
      <c r="F40" s="233"/>
      <c r="G40" s="233"/>
      <c r="H40" s="233"/>
      <c r="I40" s="233"/>
      <c r="J40" s="233"/>
      <c r="K40" s="233"/>
      <c r="L40" s="233"/>
      <c r="M40" s="233"/>
      <c r="N40" s="233"/>
      <c r="O40" s="233"/>
      <c r="P40" s="233"/>
      <c r="Q40" s="45"/>
      <c r="R40" s="33"/>
    </row>
    <row r="41" spans="2:18" ht="15" customHeight="1" x14ac:dyDescent="0.3">
      <c r="B41" s="233"/>
      <c r="C41" s="233"/>
      <c r="D41" s="233"/>
      <c r="E41" s="233"/>
      <c r="F41" s="233"/>
      <c r="G41" s="233"/>
      <c r="H41" s="233"/>
      <c r="I41" s="233"/>
      <c r="J41" s="233"/>
      <c r="K41" s="233"/>
      <c r="L41" s="233"/>
      <c r="M41" s="233"/>
      <c r="N41" s="233"/>
      <c r="O41" s="233"/>
      <c r="P41" s="233"/>
      <c r="Q41" s="45"/>
      <c r="R41" s="33"/>
    </row>
    <row r="42" spans="2:18" ht="10.5" customHeight="1" x14ac:dyDescent="0.3">
      <c r="B42" s="43"/>
      <c r="C42" s="43"/>
      <c r="D42" s="43"/>
      <c r="E42" s="43"/>
      <c r="F42" s="43"/>
      <c r="G42" s="43"/>
      <c r="H42" s="43"/>
      <c r="I42" s="43"/>
      <c r="J42" s="43"/>
      <c r="K42" s="43"/>
      <c r="L42" s="43"/>
      <c r="M42" s="43"/>
      <c r="N42" s="43"/>
      <c r="O42" s="43"/>
      <c r="P42" s="43"/>
      <c r="Q42" s="45"/>
      <c r="R42" s="33"/>
    </row>
    <row r="43" spans="2:18" ht="15" customHeight="1" x14ac:dyDescent="0.3">
      <c r="B43" s="233" t="s">
        <v>45</v>
      </c>
      <c r="C43" s="233"/>
      <c r="D43" s="233"/>
      <c r="E43" s="233"/>
      <c r="F43" s="233"/>
      <c r="G43" s="233"/>
      <c r="H43" s="233"/>
      <c r="I43" s="233"/>
      <c r="J43" s="233"/>
      <c r="K43" s="233"/>
      <c r="L43" s="233"/>
      <c r="M43" s="233"/>
      <c r="N43" s="233"/>
      <c r="O43" s="233"/>
      <c r="P43" s="233"/>
      <c r="Q43" s="45"/>
      <c r="R43" s="33"/>
    </row>
    <row r="44" spans="2:18" ht="18.899999999999999" customHeight="1" x14ac:dyDescent="0.3">
      <c r="B44" s="233"/>
      <c r="C44" s="233"/>
      <c r="D44" s="233"/>
      <c r="E44" s="233"/>
      <c r="F44" s="233"/>
      <c r="G44" s="233"/>
      <c r="H44" s="233"/>
      <c r="I44" s="233"/>
      <c r="J44" s="233"/>
      <c r="K44" s="233"/>
      <c r="L44" s="233"/>
      <c r="M44" s="233"/>
      <c r="N44" s="233"/>
      <c r="O44" s="233"/>
      <c r="P44" s="233"/>
      <c r="Q44" s="45"/>
      <c r="R44" s="33"/>
    </row>
    <row r="45" spans="2:18" ht="15" customHeight="1" x14ac:dyDescent="0.3">
      <c r="B45" s="35"/>
      <c r="C45" s="35"/>
      <c r="D45" s="35"/>
      <c r="E45" s="35"/>
      <c r="F45" s="35"/>
      <c r="G45" s="35"/>
      <c r="H45" s="35"/>
      <c r="I45" s="35"/>
      <c r="J45" s="35"/>
      <c r="K45" s="35"/>
      <c r="L45" s="35"/>
      <c r="M45" s="35"/>
      <c r="N45" s="35"/>
      <c r="O45" s="35"/>
      <c r="P45" s="35"/>
      <c r="Q45" s="35"/>
      <c r="R45" s="33"/>
    </row>
    <row r="46" spans="2:18" ht="27.6" customHeight="1" x14ac:dyDescent="0.3">
      <c r="B46" s="232" t="s">
        <v>46</v>
      </c>
      <c r="C46" s="232"/>
      <c r="D46" s="232"/>
      <c r="E46" s="232"/>
      <c r="F46" s="232"/>
      <c r="G46" s="232"/>
      <c r="H46" s="232"/>
      <c r="I46" s="232"/>
      <c r="J46" s="232"/>
      <c r="K46" s="232"/>
      <c r="L46" s="232"/>
      <c r="M46" s="232"/>
      <c r="N46" s="232"/>
      <c r="O46" s="232"/>
      <c r="P46" s="232"/>
      <c r="Q46" s="35"/>
      <c r="R46" s="33"/>
    </row>
    <row r="47" spans="2:18" ht="17.399999999999999" customHeight="1" x14ac:dyDescent="0.3">
      <c r="B47" s="35"/>
      <c r="C47" s="35"/>
      <c r="D47" s="35"/>
      <c r="E47" s="35"/>
      <c r="F47" s="35"/>
      <c r="G47" s="35"/>
      <c r="H47" s="35"/>
      <c r="I47" s="35"/>
      <c r="J47" s="35"/>
      <c r="K47" s="35"/>
      <c r="L47" s="35"/>
      <c r="M47" s="35"/>
      <c r="N47" s="35"/>
      <c r="O47" s="35"/>
      <c r="P47" s="35"/>
      <c r="Q47" s="35"/>
      <c r="R47" s="33"/>
    </row>
    <row r="48" spans="2:18" ht="65.25" customHeight="1" x14ac:dyDescent="0.3">
      <c r="B48" s="233" t="s">
        <v>47</v>
      </c>
      <c r="C48" s="233"/>
      <c r="D48" s="233"/>
      <c r="E48" s="233"/>
      <c r="F48" s="233"/>
      <c r="G48" s="233"/>
      <c r="H48" s="233"/>
      <c r="I48" s="233"/>
      <c r="J48" s="233"/>
      <c r="K48" s="233"/>
      <c r="L48" s="233"/>
      <c r="M48" s="233"/>
      <c r="N48" s="233"/>
      <c r="O48" s="233"/>
      <c r="P48" s="233"/>
      <c r="Q48" s="49"/>
    </row>
  </sheetData>
  <mergeCells count="26">
    <mergeCell ref="B3:P3"/>
    <mergeCell ref="C5:P5"/>
    <mergeCell ref="C7:P7"/>
    <mergeCell ref="C8:P8"/>
    <mergeCell ref="C9:P9"/>
    <mergeCell ref="C19:P19"/>
    <mergeCell ref="C20:P20"/>
    <mergeCell ref="B22:Q23"/>
    <mergeCell ref="B25:Q25"/>
    <mergeCell ref="B12:P12"/>
    <mergeCell ref="C14:P14"/>
    <mergeCell ref="C15:P15"/>
    <mergeCell ref="C16:P16"/>
    <mergeCell ref="C17:P17"/>
    <mergeCell ref="C18:P18"/>
    <mergeCell ref="B27:Q27"/>
    <mergeCell ref="B29:Q29"/>
    <mergeCell ref="B46:P46"/>
    <mergeCell ref="B48:P48"/>
    <mergeCell ref="B32:Q32"/>
    <mergeCell ref="B33:Q33"/>
    <mergeCell ref="B34:P34"/>
    <mergeCell ref="B36:P38"/>
    <mergeCell ref="B39:P41"/>
    <mergeCell ref="B43:P44"/>
    <mergeCell ref="B31:Q31"/>
  </mergeCells>
  <printOptions horizontalCentered="1"/>
  <pageMargins left="0.35433070866141736" right="0.35433070866141736" top="0.78740157480314965" bottom="0.59055118110236227" header="0.51181102362204722" footer="0.31496062992125984"/>
  <pageSetup paperSize="9" scale="59" orientation="portrait" r:id="rId1"/>
  <headerFooter alignWithMargins="0">
    <oddHeader>&amp;R&amp;"Calibri"&amp;7&amp;K000000 Security level: RINA/CL/SENSITIVE&amp;1#_x000D_</oddHeader>
    <oddFooter>&amp;L_x000D_&amp;1#&amp;"Trebuchet MS"&amp;9&amp;K737373 PÚBLICA&amp;C&amp;"Calibri"&amp;11&amp;K000000Página &amp;P de &amp;N</oddFooter>
  </headerFooter>
  <rowBreaks count="1" manualBreakCount="1">
    <brk id="32" max="17"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2"/>
  <sheetViews>
    <sheetView showGridLines="0" tabSelected="1" zoomScaleNormal="100" workbookViewId="0">
      <selection activeCell="F5" sqref="F5"/>
    </sheetView>
  </sheetViews>
  <sheetFormatPr defaultColWidth="12.554687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48</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107" t="e">
        <f>IF(#REF!=Critério!$B$5,Critério!$B$5,SUM(IF(D4=Critério!$B$5,100%,D4)*SUM(#REF!),IF(D7=Critério!$B$5,100%,D7)*SUM(#REF!),IF(D11=Critério!$B$5,100%,D11)*SUM(#REF!)))/#REF!</f>
        <v>#REF!</v>
      </c>
      <c r="E3" s="60" t="s">
        <v>52</v>
      </c>
      <c r="F3" s="62" t="s">
        <v>53</v>
      </c>
    </row>
    <row r="4" spans="1:6" x14ac:dyDescent="0.3">
      <c r="A4" s="169" t="s">
        <v>54</v>
      </c>
      <c r="B4" s="119"/>
      <c r="C4" s="119"/>
      <c r="D4" s="166" t="e">
        <f>IF(#REF!=COUNTA(A5:A6),Critério!$B$5,SUMPRODUCT(#REF!,#REF!)/SUM(#REF!))</f>
        <v>#REF!</v>
      </c>
      <c r="E4" s="167"/>
      <c r="F4" s="120"/>
    </row>
    <row r="5" spans="1:6" ht="313.2" x14ac:dyDescent="0.3">
      <c r="A5" s="68" t="s">
        <v>55</v>
      </c>
      <c r="B5" s="56" t="s">
        <v>56</v>
      </c>
      <c r="C5" s="96" t="s">
        <v>57</v>
      </c>
      <c r="D5" s="57">
        <v>3</v>
      </c>
      <c r="E5" s="58" t="s">
        <v>31</v>
      </c>
      <c r="F5" s="125"/>
    </row>
    <row r="6" spans="1:6" ht="104.1" customHeight="1" x14ac:dyDescent="0.3">
      <c r="A6" s="68" t="s">
        <v>58</v>
      </c>
      <c r="B6" s="56" t="s">
        <v>59</v>
      </c>
      <c r="C6" s="96" t="s">
        <v>60</v>
      </c>
      <c r="D6" s="57">
        <v>3</v>
      </c>
      <c r="E6" s="58" t="s">
        <v>31</v>
      </c>
      <c r="F6" s="170"/>
    </row>
    <row r="7" spans="1:6" x14ac:dyDescent="0.3">
      <c r="A7" s="63" t="s">
        <v>61</v>
      </c>
      <c r="B7" s="54"/>
      <c r="C7" s="54"/>
      <c r="D7" s="55" t="e">
        <f>IF(#REF!=COUNTA(A8:A10),Critério!$B$5,SUMPRODUCT(#REF!,#REF!)/SUM(#REF!))</f>
        <v>#REF!</v>
      </c>
      <c r="E7" s="54"/>
      <c r="F7" s="171"/>
    </row>
    <row r="8" spans="1:6" ht="61.2" x14ac:dyDescent="0.3">
      <c r="A8" s="68" t="s">
        <v>62</v>
      </c>
      <c r="B8" s="56" t="s">
        <v>63</v>
      </c>
      <c r="C8" s="168" t="s">
        <v>64</v>
      </c>
      <c r="D8" s="57">
        <v>3</v>
      </c>
      <c r="E8" s="58" t="s">
        <v>31</v>
      </c>
      <c r="F8" s="158"/>
    </row>
    <row r="9" spans="1:6" ht="114.9" customHeight="1" x14ac:dyDescent="0.3">
      <c r="A9" s="68" t="s">
        <v>65</v>
      </c>
      <c r="B9" s="56" t="s">
        <v>66</v>
      </c>
      <c r="C9" s="56" t="s">
        <v>67</v>
      </c>
      <c r="D9" s="57">
        <v>3</v>
      </c>
      <c r="E9" s="58" t="s">
        <v>31</v>
      </c>
      <c r="F9" s="158"/>
    </row>
    <row r="10" spans="1:6" ht="75" customHeight="1" x14ac:dyDescent="0.3">
      <c r="A10" s="65" t="s">
        <v>68</v>
      </c>
      <c r="B10" s="56" t="s">
        <v>69</v>
      </c>
      <c r="C10" s="96" t="s">
        <v>70</v>
      </c>
      <c r="D10" s="57">
        <v>3</v>
      </c>
      <c r="E10" s="58" t="s">
        <v>31</v>
      </c>
      <c r="F10" s="125"/>
    </row>
    <row r="11" spans="1:6" x14ac:dyDescent="0.3">
      <c r="A11" s="63" t="s">
        <v>71</v>
      </c>
      <c r="B11" s="54"/>
      <c r="C11" s="54"/>
      <c r="D11" s="55" t="e">
        <f>IF(#REF!=COUNTA(A12),Critério!$B$5,SUMPRODUCT(#REF!,#REF!)/SUM(#REF!))</f>
        <v>#REF!</v>
      </c>
      <c r="E11" s="54"/>
      <c r="F11" s="145"/>
    </row>
    <row r="12" spans="1:6" ht="90" customHeight="1" thickBot="1" x14ac:dyDescent="0.35">
      <c r="A12" s="71" t="s">
        <v>72</v>
      </c>
      <c r="B12" s="72" t="s">
        <v>73</v>
      </c>
      <c r="C12" s="101" t="s">
        <v>74</v>
      </c>
      <c r="D12" s="73">
        <v>3</v>
      </c>
      <c r="E12" s="74" t="s">
        <v>31</v>
      </c>
      <c r="F12" s="172"/>
    </row>
  </sheetData>
  <autoFilter ref="A3:F3" xr:uid="{00000000-0001-0000-0300-000000000000}"/>
  <mergeCells count="1">
    <mergeCell ref="A1:F2"/>
  </mergeCells>
  <conditionalFormatting sqref="A3">
    <cfRule type="duplicateValues" dxfId="668" priority="48"/>
  </conditionalFormatting>
  <conditionalFormatting sqref="A4">
    <cfRule type="duplicateValues" dxfId="667" priority="50"/>
  </conditionalFormatting>
  <conditionalFormatting sqref="A5:A6">
    <cfRule type="duplicateValues" dxfId="666" priority="54"/>
  </conditionalFormatting>
  <conditionalFormatting sqref="A8:A9">
    <cfRule type="duplicateValues" dxfId="665" priority="52"/>
  </conditionalFormatting>
  <conditionalFormatting sqref="A10">
    <cfRule type="duplicateValues" dxfId="664" priority="53"/>
  </conditionalFormatting>
  <conditionalFormatting sqref="A11">
    <cfRule type="duplicateValues" dxfId="663" priority="49"/>
  </conditionalFormatting>
  <conditionalFormatting sqref="A12">
    <cfRule type="duplicateValues" dxfId="662" priority="51"/>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ignoredErrors>
    <ignoredError sqref="D4" unlockedFormula="1"/>
  </ignoredErrors>
  <drawing r:id="rId2"/>
  <legacyDrawing r:id="rId3"/>
  <oleObjects>
    <mc:AlternateContent xmlns:mc="http://schemas.openxmlformats.org/markup-compatibility/2006">
      <mc:Choice Requires="x14">
        <oleObject progId="Word.Picture.8" shapeId="2051"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2051"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42" stopIfTrue="1" operator="equal" id="{70F88F6D-410F-44F9-B004-79667B215769}">
            <xm:f>Critério!$B$10</xm:f>
            <x14:dxf>
              <fill>
                <patternFill>
                  <bgColor rgb="FF0070C0"/>
                </patternFill>
              </fill>
            </x14:dxf>
          </x14:cfRule>
          <x14:cfRule type="cellIs" priority="43" stopIfTrue="1" operator="equal" id="{7AC16447-58B1-4CBC-9DAC-B783CA6DF844}">
            <xm:f>Critério!$B$9</xm:f>
            <x14:dxf>
              <fill>
                <patternFill>
                  <bgColor rgb="FF00FF00"/>
                </patternFill>
              </fill>
            </x14:dxf>
          </x14:cfRule>
          <x14:cfRule type="cellIs" priority="44" stopIfTrue="1" operator="equal" id="{2B68BBB5-0C14-45E9-9E1D-C6D039E26F45}">
            <xm:f>Critério!$B$8</xm:f>
            <x14:dxf>
              <fill>
                <patternFill>
                  <bgColor rgb="FFFFFF00"/>
                </patternFill>
              </fill>
            </x14:dxf>
          </x14:cfRule>
          <x14:cfRule type="cellIs" priority="45" stopIfTrue="1" operator="equal" id="{C22F5D1E-EE7A-480F-B2AD-14DAF6730C2A}">
            <xm:f>Critério!$B$7</xm:f>
            <x14:dxf>
              <fill>
                <patternFill>
                  <bgColor rgb="FFFF0000"/>
                </patternFill>
              </fill>
            </x14:dxf>
          </x14:cfRule>
          <x14:cfRule type="cellIs" priority="46" stopIfTrue="1" operator="equal" id="{A62348EB-89E7-4DFD-8E8F-CBA47B726F87}">
            <xm:f>Critério!$B$6</xm:f>
            <x14:dxf>
              <fill>
                <patternFill>
                  <bgColor rgb="FFC00000"/>
                </patternFill>
              </fill>
            </x14:dxf>
          </x14:cfRule>
          <x14:cfRule type="cellIs" priority="47" stopIfTrue="1" operator="equal" id="{A5D370F9-CD86-4E8E-A68F-3A87DD506567}">
            <xm:f>Critério!$B$5</xm:f>
            <x14:dxf>
              <fill>
                <patternFill>
                  <bgColor rgb="FFFFC000"/>
                </patternFill>
              </fill>
            </x14:dxf>
          </x14:cfRule>
          <xm:sqref>D5:D6</xm:sqref>
        </x14:conditionalFormatting>
        <x14:conditionalFormatting xmlns:xm="http://schemas.microsoft.com/office/excel/2006/main">
          <x14:cfRule type="cellIs" priority="21" stopIfTrue="1" operator="equal" id="{E5D8C1D1-291B-429E-A676-D34370F038A9}">
            <xm:f>Critério!$B$10</xm:f>
            <x14:dxf>
              <fill>
                <patternFill>
                  <bgColor rgb="FF0070C0"/>
                </patternFill>
              </fill>
            </x14:dxf>
          </x14:cfRule>
          <x14:cfRule type="cellIs" priority="22" stopIfTrue="1" operator="equal" id="{D58802A4-EF55-4695-8F35-C2E01B79D94F}">
            <xm:f>Critério!$B$9</xm:f>
            <x14:dxf>
              <fill>
                <patternFill>
                  <bgColor rgb="FF00FF00"/>
                </patternFill>
              </fill>
            </x14:dxf>
          </x14:cfRule>
          <x14:cfRule type="cellIs" priority="23" stopIfTrue="1" operator="equal" id="{3443218B-6D97-4F90-8452-0706DDE5ABF6}">
            <xm:f>Critério!$B$8</xm:f>
            <x14:dxf>
              <fill>
                <patternFill>
                  <bgColor rgb="FFFFFF00"/>
                </patternFill>
              </fill>
            </x14:dxf>
          </x14:cfRule>
          <x14:cfRule type="cellIs" priority="24" stopIfTrue="1" operator="equal" id="{83FC94E3-0127-49C3-907E-E761E73C71FC}">
            <xm:f>Critério!$B$7</xm:f>
            <x14:dxf>
              <fill>
                <patternFill>
                  <bgColor rgb="FFFF0000"/>
                </patternFill>
              </fill>
            </x14:dxf>
          </x14:cfRule>
          <x14:cfRule type="cellIs" priority="25" stopIfTrue="1" operator="equal" id="{0B747889-CE57-4B32-BBBA-4D2624CB836B}">
            <xm:f>Critério!$B$6</xm:f>
            <x14:dxf>
              <fill>
                <patternFill>
                  <bgColor rgb="FFC00000"/>
                </patternFill>
              </fill>
            </x14:dxf>
          </x14:cfRule>
          <x14:cfRule type="cellIs" priority="26" stopIfTrue="1" operator="equal" id="{D153EB77-46A9-415E-84CB-65245040533C}">
            <xm:f>Critério!$B$5</xm:f>
            <x14:dxf>
              <fill>
                <patternFill>
                  <bgColor rgb="FFFFC000"/>
                </patternFill>
              </fill>
            </x14:dxf>
          </x14:cfRule>
          <xm:sqref>D8:D10</xm:sqref>
        </x14:conditionalFormatting>
        <x14:conditionalFormatting xmlns:xm="http://schemas.microsoft.com/office/excel/2006/main">
          <x14:cfRule type="cellIs" priority="8" stopIfTrue="1" operator="equal" id="{DCDE17AB-B7F9-4FDC-B144-84938B321F1A}">
            <xm:f>Critério!$B$10</xm:f>
            <x14:dxf>
              <fill>
                <patternFill>
                  <bgColor rgb="FF0070C0"/>
                </patternFill>
              </fill>
            </x14:dxf>
          </x14:cfRule>
          <x14:cfRule type="cellIs" priority="9" stopIfTrue="1" operator="equal" id="{4D7E1E77-7631-4BAD-BC86-9939C4A87A89}">
            <xm:f>Critério!$B$9</xm:f>
            <x14:dxf>
              <fill>
                <patternFill>
                  <bgColor rgb="FF00FF00"/>
                </patternFill>
              </fill>
            </x14:dxf>
          </x14:cfRule>
          <x14:cfRule type="cellIs" priority="10" stopIfTrue="1" operator="equal" id="{DE020BF3-B520-4B38-BC6D-A829F7E7391E}">
            <xm:f>Critério!$B$8</xm:f>
            <x14:dxf>
              <fill>
                <patternFill>
                  <bgColor rgb="FFFFFF00"/>
                </patternFill>
              </fill>
            </x14:dxf>
          </x14:cfRule>
          <x14:cfRule type="cellIs" priority="11" stopIfTrue="1" operator="equal" id="{FBDF74F9-5064-459B-8BBB-514CD8441EBF}">
            <xm:f>Critério!$B$7</xm:f>
            <x14:dxf>
              <fill>
                <patternFill>
                  <bgColor rgb="FFFF0000"/>
                </patternFill>
              </fill>
            </x14:dxf>
          </x14:cfRule>
          <x14:cfRule type="cellIs" priority="12" stopIfTrue="1" operator="equal" id="{0DDF9D0E-B2F4-4C31-9C2D-9EB361F68020}">
            <xm:f>Critério!$B$6</xm:f>
            <x14:dxf>
              <fill>
                <patternFill>
                  <bgColor rgb="FFC00000"/>
                </patternFill>
              </fill>
            </x14:dxf>
          </x14:cfRule>
          <x14:cfRule type="cellIs" priority="13" stopIfTrue="1" operator="equal" id="{0F1D260C-DA39-4129-BDDC-6CCF99919760}">
            <xm:f>Critério!$B$5</xm:f>
            <x14:dxf>
              <fill>
                <patternFill>
                  <bgColor rgb="FFFFC000"/>
                </patternFill>
              </fill>
            </x14:dxf>
          </x14:cfRule>
          <xm:sqref>D12</xm:sqref>
        </x14:conditionalFormatting>
        <x14:conditionalFormatting xmlns:xm="http://schemas.microsoft.com/office/excel/2006/main">
          <x14:cfRule type="cellIs" priority="27" operator="equal" id="{C914C2FF-90DA-447D-8A39-91C839D61B16}">
            <xm:f>Critério!$B$14</xm:f>
            <x14:dxf>
              <fill>
                <patternFill>
                  <bgColor rgb="FFFFC000"/>
                </patternFill>
              </fill>
            </x14:dxf>
          </x14:cfRule>
          <x14:cfRule type="cellIs" priority="28" operator="equal" id="{3FE11358-0A59-4129-B88A-CB13F24D9D86}">
            <xm:f>Critério!$B$15</xm:f>
            <x14:dxf>
              <fill>
                <patternFill>
                  <bgColor rgb="FFC00000"/>
                </patternFill>
              </fill>
            </x14:dxf>
          </x14:cfRule>
          <x14:cfRule type="cellIs" priority="29" operator="equal" id="{A9B1FBD1-CC53-4CCD-ADD3-FE3D572F5B75}">
            <xm:f>Critério!$B$16</xm:f>
            <x14:dxf>
              <fill>
                <patternFill>
                  <bgColor rgb="FFFF0000"/>
                </patternFill>
              </fill>
            </x14:dxf>
          </x14:cfRule>
          <x14:cfRule type="cellIs" priority="30" operator="equal" id="{22915F96-8396-4E28-9CC7-448D640A8DEA}">
            <xm:f>Critério!$B$17</xm:f>
            <x14:dxf>
              <fill>
                <patternFill>
                  <bgColor theme="9" tint="-0.24994659260841701"/>
                </patternFill>
              </fill>
            </x14:dxf>
          </x14:cfRule>
          <x14:cfRule type="cellIs" priority="31" operator="equal" id="{E54D17DD-6677-45A3-A383-A2D6F1CDBF3D}">
            <xm:f>Critério!$B$18</xm:f>
            <x14:dxf>
              <fill>
                <patternFill>
                  <bgColor rgb="FFFFFF00"/>
                </patternFill>
              </fill>
            </x14:dxf>
          </x14:cfRule>
          <x14:cfRule type="cellIs" priority="32" operator="equal" id="{17A28C32-990C-4D26-BE76-19117DA4F376}">
            <xm:f>Critério!$B$19</xm:f>
            <x14:dxf>
              <fill>
                <patternFill>
                  <bgColor rgb="FF00FF00"/>
                </patternFill>
              </fill>
            </x14:dxf>
          </x14:cfRule>
          <x14:cfRule type="cellIs" priority="33" operator="equal" id="{91C762FB-400A-4BFD-AA4F-D86D65DE6DA8}">
            <xm:f>Critério!$B$20</xm:f>
            <x14:dxf>
              <fill>
                <patternFill>
                  <bgColor rgb="FF0070C0"/>
                </patternFill>
              </fill>
            </x14:dxf>
          </x14:cfRule>
          <xm:sqref>E5:E6</xm:sqref>
        </x14:conditionalFormatting>
        <x14:conditionalFormatting xmlns:xm="http://schemas.microsoft.com/office/excel/2006/main">
          <x14:cfRule type="cellIs" priority="14" operator="equal" id="{0A6BAD92-F3C9-4328-A273-B801E824A49E}">
            <xm:f>Critério!$B$14</xm:f>
            <x14:dxf>
              <fill>
                <patternFill>
                  <bgColor rgb="FFFFC000"/>
                </patternFill>
              </fill>
            </x14:dxf>
          </x14:cfRule>
          <x14:cfRule type="cellIs" priority="15" operator="equal" id="{D89ACF17-54DA-4C76-B64C-5D0376815DBE}">
            <xm:f>Critério!$B$15</xm:f>
            <x14:dxf>
              <fill>
                <patternFill>
                  <bgColor rgb="FFC00000"/>
                </patternFill>
              </fill>
            </x14:dxf>
          </x14:cfRule>
          <x14:cfRule type="cellIs" priority="16" operator="equal" id="{9BD65012-CA5C-4C2B-A022-8FCAB83E66F2}">
            <xm:f>Critério!$B$16</xm:f>
            <x14:dxf>
              <fill>
                <patternFill>
                  <bgColor rgb="FFFF0000"/>
                </patternFill>
              </fill>
            </x14:dxf>
          </x14:cfRule>
          <x14:cfRule type="cellIs" priority="17" operator="equal" id="{47FEB817-FDD2-4E2B-A1DC-3DA082D8A9AA}">
            <xm:f>Critério!$B$17</xm:f>
            <x14:dxf>
              <fill>
                <patternFill>
                  <bgColor theme="9" tint="-0.24994659260841701"/>
                </patternFill>
              </fill>
            </x14:dxf>
          </x14:cfRule>
          <x14:cfRule type="cellIs" priority="18" operator="equal" id="{74CE41DD-D6D3-4D5A-BAF4-A12F7AE04598}">
            <xm:f>Critério!$B$18</xm:f>
            <x14:dxf>
              <fill>
                <patternFill>
                  <bgColor rgb="FFFFFF00"/>
                </patternFill>
              </fill>
            </x14:dxf>
          </x14:cfRule>
          <x14:cfRule type="cellIs" priority="19" operator="equal" id="{246410E7-7042-482E-AF59-5FAB296855FE}">
            <xm:f>Critério!$B$19</xm:f>
            <x14:dxf>
              <fill>
                <patternFill>
                  <bgColor rgb="FF00FF00"/>
                </patternFill>
              </fill>
            </x14:dxf>
          </x14:cfRule>
          <x14:cfRule type="cellIs" priority="20" operator="equal" id="{2B782010-5F6C-4B8D-8243-75B5A9F5FB94}">
            <xm:f>Critério!$B$20</xm:f>
            <x14:dxf>
              <fill>
                <patternFill>
                  <bgColor rgb="FF0070C0"/>
                </patternFill>
              </fill>
            </x14:dxf>
          </x14:cfRule>
          <xm:sqref>E8:E10</xm:sqref>
        </x14:conditionalFormatting>
        <x14:conditionalFormatting xmlns:xm="http://schemas.microsoft.com/office/excel/2006/main">
          <x14:cfRule type="cellIs" priority="1" operator="equal" id="{A4352EC8-5786-4198-A725-0675326AEBE0}">
            <xm:f>Critério!$B$14</xm:f>
            <x14:dxf>
              <fill>
                <patternFill>
                  <bgColor rgb="FFFFC000"/>
                </patternFill>
              </fill>
            </x14:dxf>
          </x14:cfRule>
          <x14:cfRule type="cellIs" priority="2" operator="equal" id="{3BDCEA6C-CB44-479D-8F94-89008E689D3B}">
            <xm:f>Critério!$B$15</xm:f>
            <x14:dxf>
              <fill>
                <patternFill>
                  <bgColor rgb="FFC00000"/>
                </patternFill>
              </fill>
            </x14:dxf>
          </x14:cfRule>
          <x14:cfRule type="cellIs" priority="3" operator="equal" id="{24E9DB64-618C-48B7-BADE-C13F9F5FA567}">
            <xm:f>Critério!$B$16</xm:f>
            <x14:dxf>
              <fill>
                <patternFill>
                  <bgColor rgb="FFFF0000"/>
                </patternFill>
              </fill>
            </x14:dxf>
          </x14:cfRule>
          <x14:cfRule type="cellIs" priority="4" operator="equal" id="{9CE913AD-5579-4BBE-BFE2-547DC5106DE9}">
            <xm:f>Critério!$B$17</xm:f>
            <x14:dxf>
              <fill>
                <patternFill>
                  <bgColor theme="9" tint="-0.24994659260841701"/>
                </patternFill>
              </fill>
            </x14:dxf>
          </x14:cfRule>
          <x14:cfRule type="cellIs" priority="5" operator="equal" id="{856F50AE-94D4-400F-8D1F-90EC6AA3D101}">
            <xm:f>Critério!$B$18</xm:f>
            <x14:dxf>
              <fill>
                <patternFill>
                  <bgColor rgb="FFFFFF00"/>
                </patternFill>
              </fill>
            </x14:dxf>
          </x14:cfRule>
          <x14:cfRule type="cellIs" priority="6" operator="equal" id="{5BC67717-B787-48AE-9A0D-A7FE2F63F9CF}">
            <xm:f>Critério!$B$19</xm:f>
            <x14:dxf>
              <fill>
                <patternFill>
                  <bgColor rgb="FF00FF00"/>
                </patternFill>
              </fill>
            </x14:dxf>
          </x14:cfRule>
          <x14:cfRule type="cellIs" priority="7" operator="equal" id="{113A04EB-BB5A-4528-9CEC-777B1028A28E}">
            <xm:f>Critério!$B$20</xm:f>
            <x14:dxf>
              <fill>
                <patternFill>
                  <bgColor rgb="FF0070C0"/>
                </patternFill>
              </fill>
            </x14:dxf>
          </x14:cfRule>
          <xm:sqref>E12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8A945482-DF22-4E7F-8C80-18D03DC27F98}">
          <x14:formula1>
            <xm:f>Critério!$B$5:$B$10</xm:f>
          </x14:formula1>
          <xm:sqref>D5:D6 D8:D10 D12</xm:sqref>
        </x14:dataValidation>
        <x14:dataValidation type="list" allowBlank="1" showInputMessage="1" showErrorMessage="1" xr:uid="{647DA142-A194-427A-8689-008E417EED74}">
          <x14:formula1>
            <xm:f>Critério!$B$14:$B$20</xm:f>
          </x14:formula1>
          <xm:sqref>E5:E6 E8:E10 E12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0"/>
  <sheetViews>
    <sheetView showGridLines="0" zoomScaleNormal="100" zoomScaleSheetLayoutView="90" workbookViewId="0">
      <selection activeCell="L5" sqref="L5"/>
    </sheetView>
  </sheetViews>
  <sheetFormatPr defaultColWidth="18.3320312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75</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107" t="e">
        <f>IF(#REF!=Critério!$B$5,Critério!$B$5,SUM(IF(D4=Critério!$B$5,100%,D4)*SUM(#REF!),IF(D7=Critério!$B$5,100%,D7)*SUM(#REF!),IF(D20=Critério!$B$5,100%,D20)*SUM(#REF!),IF(D32=Critério!$B$5,100%,D32)*SUM(#REF!),IF(D37=Critério!$B$5,100%,D37)*SUM(#REF!),IF(D43=Critério!$B$5,100%,D43)*SUM(#REF!)))/#REF!</f>
        <v>#REF!</v>
      </c>
      <c r="E3" s="60" t="s">
        <v>52</v>
      </c>
      <c r="F3" s="62" t="s">
        <v>53</v>
      </c>
    </row>
    <row r="4" spans="1:6" x14ac:dyDescent="0.3">
      <c r="A4" s="63" t="s">
        <v>76</v>
      </c>
      <c r="B4" s="54"/>
      <c r="C4" s="54"/>
      <c r="D4" s="55" t="e">
        <f>IF(#REF!=COUNTA(A5:A6),Critério!$B$5,SUMPRODUCT(#REF!,#REF!)/SUM(#REF!))</f>
        <v>#REF!</v>
      </c>
      <c r="E4" s="54"/>
      <c r="F4" s="173"/>
    </row>
    <row r="5" spans="1:6" ht="179.25" customHeight="1" x14ac:dyDescent="0.3">
      <c r="A5" s="68" t="s">
        <v>77</v>
      </c>
      <c r="B5" s="56" t="s">
        <v>78</v>
      </c>
      <c r="C5" s="56" t="s">
        <v>79</v>
      </c>
      <c r="D5" s="57">
        <v>3</v>
      </c>
      <c r="E5" s="58" t="s">
        <v>31</v>
      </c>
      <c r="F5" s="125"/>
    </row>
    <row r="6" spans="1:6" ht="99.9" customHeight="1" x14ac:dyDescent="0.3">
      <c r="A6" s="68" t="s">
        <v>80</v>
      </c>
      <c r="B6" s="56" t="s">
        <v>81</v>
      </c>
      <c r="C6" s="96" t="s">
        <v>82</v>
      </c>
      <c r="D6" s="57">
        <v>3</v>
      </c>
      <c r="E6" s="58" t="s">
        <v>31</v>
      </c>
      <c r="F6" s="122"/>
    </row>
    <row r="7" spans="1:6" s="4" customFormat="1" ht="13.8" x14ac:dyDescent="0.3">
      <c r="A7" s="161" t="s">
        <v>83</v>
      </c>
      <c r="B7" s="97"/>
      <c r="C7" s="97"/>
      <c r="D7" s="55" t="e">
        <f>IF(#REF!=COUNTA(A8:A19),Critério!$B$5,SUMPRODUCT(#REF!,#REF!)/SUM(#REF!))</f>
        <v>#REF!</v>
      </c>
      <c r="E7" s="97"/>
      <c r="F7" s="162"/>
    </row>
    <row r="8" spans="1:6" s="5" customFormat="1" ht="32.4" customHeight="1" x14ac:dyDescent="0.3">
      <c r="A8" s="68" t="s">
        <v>84</v>
      </c>
      <c r="B8" s="56" t="s">
        <v>85</v>
      </c>
      <c r="C8" s="96" t="s">
        <v>86</v>
      </c>
      <c r="D8" s="57">
        <v>3</v>
      </c>
      <c r="E8" s="58" t="s">
        <v>31</v>
      </c>
      <c r="F8" s="122"/>
    </row>
    <row r="9" spans="1:6" s="5" customFormat="1" ht="185.1" customHeight="1" x14ac:dyDescent="0.3">
      <c r="A9" s="68" t="s">
        <v>87</v>
      </c>
      <c r="B9" s="56" t="s">
        <v>88</v>
      </c>
      <c r="C9" s="96" t="s">
        <v>89</v>
      </c>
      <c r="D9" s="57">
        <v>3</v>
      </c>
      <c r="E9" s="58" t="s">
        <v>31</v>
      </c>
      <c r="F9" s="122"/>
    </row>
    <row r="10" spans="1:6" s="5" customFormat="1" ht="56.1" customHeight="1" x14ac:dyDescent="0.3">
      <c r="A10" s="68" t="s">
        <v>90</v>
      </c>
      <c r="B10" s="56" t="s">
        <v>91</v>
      </c>
      <c r="C10" s="96" t="s">
        <v>92</v>
      </c>
      <c r="D10" s="57">
        <v>3</v>
      </c>
      <c r="E10" s="58" t="s">
        <v>31</v>
      </c>
      <c r="F10" s="122"/>
    </row>
    <row r="11" spans="1:6" s="5" customFormat="1" ht="41.4" customHeight="1" x14ac:dyDescent="0.3">
      <c r="A11" s="68" t="s">
        <v>93</v>
      </c>
      <c r="B11" s="56" t="s">
        <v>94</v>
      </c>
      <c r="C11" s="96" t="s">
        <v>95</v>
      </c>
      <c r="D11" s="57">
        <v>3</v>
      </c>
      <c r="E11" s="58" t="s">
        <v>31</v>
      </c>
      <c r="F11" s="122"/>
    </row>
    <row r="12" spans="1:6" s="5" customFormat="1" ht="39" customHeight="1" x14ac:dyDescent="0.3">
      <c r="A12" s="68" t="s">
        <v>96</v>
      </c>
      <c r="B12" s="56" t="s">
        <v>97</v>
      </c>
      <c r="C12" s="96" t="s">
        <v>97</v>
      </c>
      <c r="D12" s="57">
        <v>3</v>
      </c>
      <c r="E12" s="58" t="s">
        <v>31</v>
      </c>
      <c r="F12" s="122"/>
    </row>
    <row r="13" spans="1:6" s="5" customFormat="1" ht="41.1" customHeight="1" x14ac:dyDescent="0.3">
      <c r="A13" s="68" t="s">
        <v>98</v>
      </c>
      <c r="B13" s="56" t="s">
        <v>99</v>
      </c>
      <c r="C13" s="96" t="s">
        <v>99</v>
      </c>
      <c r="D13" s="57">
        <v>3</v>
      </c>
      <c r="E13" s="58" t="s">
        <v>31</v>
      </c>
      <c r="F13" s="122"/>
    </row>
    <row r="14" spans="1:6" s="5" customFormat="1" ht="47.4" customHeight="1" x14ac:dyDescent="0.3">
      <c r="A14" s="68" t="s">
        <v>100</v>
      </c>
      <c r="B14" s="56" t="s">
        <v>101</v>
      </c>
      <c r="C14" s="96" t="s">
        <v>102</v>
      </c>
      <c r="D14" s="57">
        <v>3</v>
      </c>
      <c r="E14" s="58" t="s">
        <v>31</v>
      </c>
      <c r="F14" s="122"/>
    </row>
    <row r="15" spans="1:6" s="5" customFormat="1" ht="45.9" customHeight="1" x14ac:dyDescent="0.3">
      <c r="A15" s="68" t="s">
        <v>103</v>
      </c>
      <c r="B15" s="56" t="s">
        <v>104</v>
      </c>
      <c r="C15" s="96" t="s">
        <v>105</v>
      </c>
      <c r="D15" s="57">
        <v>3</v>
      </c>
      <c r="E15" s="58" t="s">
        <v>31</v>
      </c>
      <c r="F15" s="122"/>
    </row>
    <row r="16" spans="1:6" s="5" customFormat="1" ht="56.4" customHeight="1" x14ac:dyDescent="0.3">
      <c r="A16" s="68" t="s">
        <v>106</v>
      </c>
      <c r="B16" s="56" t="s">
        <v>107</v>
      </c>
      <c r="C16" s="96" t="s">
        <v>108</v>
      </c>
      <c r="D16" s="57">
        <v>3</v>
      </c>
      <c r="E16" s="58" t="s">
        <v>31</v>
      </c>
      <c r="F16" s="122"/>
    </row>
    <row r="17" spans="1:6" s="5" customFormat="1" ht="39.9" customHeight="1" x14ac:dyDescent="0.3">
      <c r="A17" s="68" t="s">
        <v>109</v>
      </c>
      <c r="B17" s="56" t="s">
        <v>110</v>
      </c>
      <c r="C17" s="96" t="s">
        <v>111</v>
      </c>
      <c r="D17" s="57">
        <v>3</v>
      </c>
      <c r="E17" s="58" t="s">
        <v>31</v>
      </c>
      <c r="F17" s="122"/>
    </row>
    <row r="18" spans="1:6" s="5" customFormat="1" ht="50.1" customHeight="1" x14ac:dyDescent="0.3">
      <c r="A18" s="68" t="s">
        <v>112</v>
      </c>
      <c r="B18" s="56" t="s">
        <v>113</v>
      </c>
      <c r="C18" s="96" t="s">
        <v>114</v>
      </c>
      <c r="D18" s="57">
        <v>3</v>
      </c>
      <c r="E18" s="58" t="s">
        <v>31</v>
      </c>
      <c r="F18" s="122"/>
    </row>
    <row r="19" spans="1:6" s="5" customFormat="1" ht="51" customHeight="1" x14ac:dyDescent="0.3">
      <c r="A19" s="68" t="s">
        <v>115</v>
      </c>
      <c r="B19" s="56" t="s">
        <v>116</v>
      </c>
      <c r="C19" s="96" t="s">
        <v>117</v>
      </c>
      <c r="D19" s="57">
        <v>3</v>
      </c>
      <c r="E19" s="58" t="s">
        <v>31</v>
      </c>
      <c r="F19" s="122"/>
    </row>
    <row r="20" spans="1:6" s="4" customFormat="1" ht="13.8" x14ac:dyDescent="0.3">
      <c r="A20" s="161" t="s">
        <v>118</v>
      </c>
      <c r="B20" s="97"/>
      <c r="C20" s="97"/>
      <c r="D20" s="55" t="e">
        <f>IF(#REF!=COUNTA(A21:A31),Critério!$B$5,SUMPRODUCT(#REF!,#REF!)/SUM(#REF!))</f>
        <v>#REF!</v>
      </c>
      <c r="E20" s="97"/>
      <c r="F20" s="162"/>
    </row>
    <row r="21" spans="1:6" s="5" customFormat="1" ht="90.9" customHeight="1" x14ac:dyDescent="0.3">
      <c r="A21" s="68" t="s">
        <v>119</v>
      </c>
      <c r="B21" s="56" t="s">
        <v>120</v>
      </c>
      <c r="C21" s="96" t="s">
        <v>121</v>
      </c>
      <c r="D21" s="57">
        <v>3</v>
      </c>
      <c r="E21" s="58" t="s">
        <v>31</v>
      </c>
      <c r="F21" s="122"/>
    </row>
    <row r="22" spans="1:6" s="5" customFormat="1" ht="32.1" customHeight="1" x14ac:dyDescent="0.3">
      <c r="A22" s="68" t="s">
        <v>122</v>
      </c>
      <c r="B22" s="56" t="s">
        <v>123</v>
      </c>
      <c r="C22" s="96" t="s">
        <v>124</v>
      </c>
      <c r="D22" s="57">
        <v>3</v>
      </c>
      <c r="E22" s="58" t="s">
        <v>31</v>
      </c>
      <c r="F22" s="122"/>
    </row>
    <row r="23" spans="1:6" s="5" customFormat="1" ht="36.9" customHeight="1" x14ac:dyDescent="0.3">
      <c r="A23" s="68" t="s">
        <v>125</v>
      </c>
      <c r="B23" s="56" t="s">
        <v>126</v>
      </c>
      <c r="C23" s="96" t="s">
        <v>127</v>
      </c>
      <c r="D23" s="57">
        <v>3</v>
      </c>
      <c r="E23" s="58" t="s">
        <v>31</v>
      </c>
      <c r="F23" s="122"/>
    </row>
    <row r="24" spans="1:6" s="5" customFormat="1" ht="44.1" customHeight="1" x14ac:dyDescent="0.3">
      <c r="A24" s="68" t="s">
        <v>128</v>
      </c>
      <c r="B24" s="56" t="s">
        <v>129</v>
      </c>
      <c r="C24" s="96" t="s">
        <v>124</v>
      </c>
      <c r="D24" s="57">
        <v>3</v>
      </c>
      <c r="E24" s="58" t="s">
        <v>31</v>
      </c>
      <c r="F24" s="122"/>
    </row>
    <row r="25" spans="1:6" s="5" customFormat="1" ht="34.5" customHeight="1" x14ac:dyDescent="0.3">
      <c r="A25" s="68" t="s">
        <v>130</v>
      </c>
      <c r="B25" s="56" t="s">
        <v>131</v>
      </c>
      <c r="C25" s="96" t="s">
        <v>124</v>
      </c>
      <c r="D25" s="57">
        <v>3</v>
      </c>
      <c r="E25" s="58" t="s">
        <v>31</v>
      </c>
      <c r="F25" s="122"/>
    </row>
    <row r="26" spans="1:6" s="5" customFormat="1" ht="35.1" customHeight="1" x14ac:dyDescent="0.3">
      <c r="A26" s="68" t="s">
        <v>132</v>
      </c>
      <c r="B26" s="56" t="s">
        <v>133</v>
      </c>
      <c r="C26" s="96" t="s">
        <v>124</v>
      </c>
      <c r="D26" s="57">
        <v>3</v>
      </c>
      <c r="E26" s="58" t="s">
        <v>31</v>
      </c>
      <c r="F26" s="122"/>
    </row>
    <row r="27" spans="1:6" s="5" customFormat="1" ht="29.4" customHeight="1" x14ac:dyDescent="0.3">
      <c r="A27" s="68" t="s">
        <v>134</v>
      </c>
      <c r="B27" s="56" t="s">
        <v>135</v>
      </c>
      <c r="C27" s="96" t="s">
        <v>124</v>
      </c>
      <c r="D27" s="57">
        <v>3</v>
      </c>
      <c r="E27" s="58" t="s">
        <v>31</v>
      </c>
      <c r="F27" s="122"/>
    </row>
    <row r="28" spans="1:6" s="5" customFormat="1" ht="33" customHeight="1" x14ac:dyDescent="0.3">
      <c r="A28" s="68" t="s">
        <v>136</v>
      </c>
      <c r="B28" s="56" t="s">
        <v>137</v>
      </c>
      <c r="C28" s="96" t="s">
        <v>124</v>
      </c>
      <c r="D28" s="57">
        <v>3</v>
      </c>
      <c r="E28" s="58" t="s">
        <v>31</v>
      </c>
      <c r="F28" s="122"/>
    </row>
    <row r="29" spans="1:6" s="5" customFormat="1" ht="54.75" customHeight="1" x14ac:dyDescent="0.3">
      <c r="A29" s="68" t="s">
        <v>138</v>
      </c>
      <c r="B29" s="56" t="s">
        <v>139</v>
      </c>
      <c r="C29" s="96" t="s">
        <v>124</v>
      </c>
      <c r="D29" s="57">
        <v>3</v>
      </c>
      <c r="E29" s="58" t="s">
        <v>31</v>
      </c>
      <c r="F29" s="122"/>
    </row>
    <row r="30" spans="1:6" s="5" customFormat="1" ht="63" customHeight="1" x14ac:dyDescent="0.3">
      <c r="A30" s="68" t="s">
        <v>140</v>
      </c>
      <c r="B30" s="56" t="s">
        <v>141</v>
      </c>
      <c r="C30" s="96" t="s">
        <v>124</v>
      </c>
      <c r="D30" s="57">
        <v>3</v>
      </c>
      <c r="E30" s="58" t="s">
        <v>31</v>
      </c>
      <c r="F30" s="122"/>
    </row>
    <row r="31" spans="1:6" s="5" customFormat="1" ht="82.5" customHeight="1" x14ac:dyDescent="0.3">
      <c r="A31" s="68" t="s">
        <v>142</v>
      </c>
      <c r="B31" s="56" t="s">
        <v>143</v>
      </c>
      <c r="C31" s="96" t="s">
        <v>144</v>
      </c>
      <c r="D31" s="57">
        <v>3</v>
      </c>
      <c r="E31" s="58" t="s">
        <v>31</v>
      </c>
      <c r="F31" s="122"/>
    </row>
    <row r="32" spans="1:6" s="4" customFormat="1" ht="13.8" x14ac:dyDescent="0.3">
      <c r="A32" s="247" t="s">
        <v>145</v>
      </c>
      <c r="B32" s="248"/>
      <c r="C32" s="248"/>
      <c r="D32" s="55" t="e">
        <f>IF(#REF!=COUNTA(A33:A36),Critério!$B$5,SUMPRODUCT(#REF!,#REF!)/SUM(#REF!))</f>
        <v>#REF!</v>
      </c>
      <c r="E32" s="160"/>
      <c r="F32" s="163"/>
    </row>
    <row r="33" spans="1:6" s="5" customFormat="1" ht="63.75" customHeight="1" x14ac:dyDescent="0.3">
      <c r="A33" s="68" t="s">
        <v>146</v>
      </c>
      <c r="B33" s="56" t="s">
        <v>147</v>
      </c>
      <c r="C33" s="96" t="s">
        <v>148</v>
      </c>
      <c r="D33" s="57">
        <v>3</v>
      </c>
      <c r="E33" s="58" t="s">
        <v>31</v>
      </c>
      <c r="F33" s="122"/>
    </row>
    <row r="34" spans="1:6" s="5" customFormat="1" ht="47.25" customHeight="1" x14ac:dyDescent="0.3">
      <c r="A34" s="68" t="s">
        <v>149</v>
      </c>
      <c r="B34" s="56" t="s">
        <v>150</v>
      </c>
      <c r="C34" s="96" t="s">
        <v>151</v>
      </c>
      <c r="D34" s="57">
        <v>3</v>
      </c>
      <c r="E34" s="58" t="s">
        <v>31</v>
      </c>
      <c r="F34" s="122"/>
    </row>
    <row r="35" spans="1:6" s="5" customFormat="1" ht="78" customHeight="1" x14ac:dyDescent="0.3">
      <c r="A35" s="68" t="s">
        <v>152</v>
      </c>
      <c r="B35" s="56" t="s">
        <v>153</v>
      </c>
      <c r="C35" s="96" t="s">
        <v>154</v>
      </c>
      <c r="D35" s="57">
        <v>3</v>
      </c>
      <c r="E35" s="58" t="s">
        <v>31</v>
      </c>
      <c r="F35" s="122"/>
    </row>
    <row r="36" spans="1:6" s="5" customFormat="1" ht="66" customHeight="1" x14ac:dyDescent="0.3">
      <c r="A36" s="68" t="s">
        <v>155</v>
      </c>
      <c r="B36" s="56" t="s">
        <v>156</v>
      </c>
      <c r="C36" s="96" t="s">
        <v>157</v>
      </c>
      <c r="D36" s="57">
        <v>3</v>
      </c>
      <c r="E36" s="58" t="s">
        <v>31</v>
      </c>
      <c r="F36" s="122"/>
    </row>
    <row r="37" spans="1:6" s="4" customFormat="1" ht="15.75" customHeight="1" x14ac:dyDescent="0.3">
      <c r="A37" s="249" t="s">
        <v>158</v>
      </c>
      <c r="B37" s="248"/>
      <c r="C37" s="248"/>
      <c r="D37" s="55" t="e">
        <f>IF(#REF!=COUNTA(A38:A42),Critério!$B$5,SUMPRODUCT(#REF!,#REF!)/SUM(#REF!))</f>
        <v>#REF!</v>
      </c>
      <c r="E37" s="160"/>
      <c r="F37" s="163"/>
    </row>
    <row r="38" spans="1:6" s="5" customFormat="1" ht="60.75" customHeight="1" x14ac:dyDescent="0.3">
      <c r="A38" s="68" t="s">
        <v>159</v>
      </c>
      <c r="B38" s="56" t="s">
        <v>160</v>
      </c>
      <c r="C38" s="96" t="s">
        <v>161</v>
      </c>
      <c r="D38" s="57">
        <v>3</v>
      </c>
      <c r="E38" s="58" t="s">
        <v>31</v>
      </c>
      <c r="F38" s="122"/>
    </row>
    <row r="39" spans="1:6" s="5" customFormat="1" ht="58.5" customHeight="1" x14ac:dyDescent="0.3">
      <c r="A39" s="68" t="s">
        <v>162</v>
      </c>
      <c r="B39" s="56" t="s">
        <v>163</v>
      </c>
      <c r="C39" s="96" t="s">
        <v>164</v>
      </c>
      <c r="D39" s="57">
        <v>3</v>
      </c>
      <c r="E39" s="58" t="s">
        <v>31</v>
      </c>
      <c r="F39" s="122"/>
    </row>
    <row r="40" spans="1:6" s="5" customFormat="1" ht="47.25" customHeight="1" x14ac:dyDescent="0.3">
      <c r="A40" s="68" t="s">
        <v>165</v>
      </c>
      <c r="B40" s="56" t="s">
        <v>166</v>
      </c>
      <c r="C40" s="96" t="s">
        <v>167</v>
      </c>
      <c r="D40" s="57">
        <v>3</v>
      </c>
      <c r="E40" s="58" t="s">
        <v>31</v>
      </c>
      <c r="F40" s="122"/>
    </row>
    <row r="41" spans="1:6" s="5" customFormat="1" ht="63.6" customHeight="1" x14ac:dyDescent="0.3">
      <c r="A41" s="68" t="s">
        <v>168</v>
      </c>
      <c r="B41" s="56" t="s">
        <v>169</v>
      </c>
      <c r="C41" s="96" t="s">
        <v>167</v>
      </c>
      <c r="D41" s="57">
        <v>3</v>
      </c>
      <c r="E41" s="58" t="s">
        <v>31</v>
      </c>
      <c r="F41" s="122"/>
    </row>
    <row r="42" spans="1:6" s="5" customFormat="1" ht="45" customHeight="1" x14ac:dyDescent="0.3">
      <c r="A42" s="68" t="s">
        <v>170</v>
      </c>
      <c r="B42" s="56" t="s">
        <v>171</v>
      </c>
      <c r="C42" s="96" t="s">
        <v>172</v>
      </c>
      <c r="D42" s="57">
        <v>3</v>
      </c>
      <c r="E42" s="58" t="s">
        <v>31</v>
      </c>
      <c r="F42" s="122"/>
    </row>
    <row r="43" spans="1:6" x14ac:dyDescent="0.3">
      <c r="A43" s="63" t="s">
        <v>173</v>
      </c>
      <c r="B43" s="54"/>
      <c r="C43" s="54"/>
      <c r="D43" s="55" t="e">
        <f>IF(#REF!=COUNTA(A44:A50),Critério!$B$5,SUMPRODUCT(#REF!,#REF!)/SUM(#REF!))</f>
        <v>#REF!</v>
      </c>
      <c r="E43" s="54"/>
      <c r="F43" s="64"/>
    </row>
    <row r="44" spans="1:6" ht="53.25" customHeight="1" x14ac:dyDescent="0.3">
      <c r="A44" s="65" t="s">
        <v>174</v>
      </c>
      <c r="B44" s="56" t="s">
        <v>175</v>
      </c>
      <c r="C44" s="56" t="s">
        <v>176</v>
      </c>
      <c r="D44" s="57">
        <v>3</v>
      </c>
      <c r="E44" s="58" t="s">
        <v>31</v>
      </c>
      <c r="F44" s="164"/>
    </row>
    <row r="45" spans="1:6" ht="58.5" customHeight="1" x14ac:dyDescent="0.3">
      <c r="A45" s="65" t="s">
        <v>177</v>
      </c>
      <c r="B45" s="56" t="s">
        <v>178</v>
      </c>
      <c r="C45" s="96" t="s">
        <v>176</v>
      </c>
      <c r="D45" s="57">
        <v>3</v>
      </c>
      <c r="E45" s="58" t="s">
        <v>31</v>
      </c>
      <c r="F45" s="122"/>
    </row>
    <row r="46" spans="1:6" ht="64.5" customHeight="1" x14ac:dyDescent="0.3">
      <c r="A46" s="65" t="s">
        <v>179</v>
      </c>
      <c r="B46" s="56" t="s">
        <v>180</v>
      </c>
      <c r="C46" s="96" t="s">
        <v>176</v>
      </c>
      <c r="D46" s="57">
        <v>3</v>
      </c>
      <c r="E46" s="58" t="s">
        <v>31</v>
      </c>
      <c r="F46" s="125"/>
    </row>
    <row r="47" spans="1:6" ht="60" customHeight="1" x14ac:dyDescent="0.3">
      <c r="A47" s="65" t="s">
        <v>181</v>
      </c>
      <c r="B47" s="56" t="s">
        <v>182</v>
      </c>
      <c r="C47" s="96" t="s">
        <v>176</v>
      </c>
      <c r="D47" s="57">
        <v>3</v>
      </c>
      <c r="E47" s="58" t="s">
        <v>31</v>
      </c>
      <c r="F47" s="125"/>
    </row>
    <row r="48" spans="1:6" ht="70.5" customHeight="1" x14ac:dyDescent="0.3">
      <c r="A48" s="65" t="s">
        <v>183</v>
      </c>
      <c r="B48" s="56" t="s">
        <v>184</v>
      </c>
      <c r="C48" s="96" t="s">
        <v>176</v>
      </c>
      <c r="D48" s="57">
        <v>3</v>
      </c>
      <c r="E48" s="58" t="s">
        <v>31</v>
      </c>
      <c r="F48" s="125"/>
    </row>
    <row r="49" spans="1:6" ht="82.5" customHeight="1" x14ac:dyDescent="0.3">
      <c r="A49" s="65" t="s">
        <v>185</v>
      </c>
      <c r="B49" s="56" t="s">
        <v>186</v>
      </c>
      <c r="C49" s="96" t="s">
        <v>187</v>
      </c>
      <c r="D49" s="57">
        <v>3</v>
      </c>
      <c r="E49" s="58" t="s">
        <v>31</v>
      </c>
      <c r="F49" s="125"/>
    </row>
    <row r="50" spans="1:6" ht="84.75" customHeight="1" thickBot="1" x14ac:dyDescent="0.35">
      <c r="A50" s="100" t="s">
        <v>188</v>
      </c>
      <c r="B50" s="72" t="s">
        <v>189</v>
      </c>
      <c r="C50" s="101" t="s">
        <v>190</v>
      </c>
      <c r="D50" s="73">
        <v>3</v>
      </c>
      <c r="E50" s="74" t="s">
        <v>31</v>
      </c>
      <c r="F50" s="165"/>
    </row>
  </sheetData>
  <autoFilter ref="A3:F50" xr:uid="{00000000-0009-0000-0000-000004000000}"/>
  <mergeCells count="3">
    <mergeCell ref="A32:C32"/>
    <mergeCell ref="A37:C37"/>
    <mergeCell ref="A1:F2"/>
  </mergeCells>
  <phoneticPr fontId="12" type="noConversion"/>
  <conditionalFormatting sqref="A3">
    <cfRule type="duplicateValues" dxfId="622" priority="115"/>
  </conditionalFormatting>
  <conditionalFormatting sqref="A3:A65535">
    <cfRule type="duplicateValues" dxfId="621" priority="283"/>
  </conditionalFormatting>
  <conditionalFormatting sqref="A4">
    <cfRule type="duplicateValues" dxfId="620" priority="112"/>
  </conditionalFormatting>
  <conditionalFormatting sqref="A5:A6">
    <cfRule type="duplicateValues" dxfId="619" priority="114"/>
  </conditionalFormatting>
  <conditionalFormatting sqref="A8:A19">
    <cfRule type="duplicateValues" dxfId="618" priority="285"/>
  </conditionalFormatting>
  <conditionalFormatting sqref="A21:A31">
    <cfRule type="duplicateValues" dxfId="617" priority="83"/>
  </conditionalFormatting>
  <conditionalFormatting sqref="A33:A36">
    <cfRule type="duplicateValues" dxfId="616" priority="81"/>
  </conditionalFormatting>
  <conditionalFormatting sqref="A38:A42">
    <cfRule type="duplicateValues" dxfId="615" priority="80"/>
  </conditionalFormatting>
  <conditionalFormatting sqref="A43">
    <cfRule type="duplicateValues" dxfId="614" priority="110"/>
  </conditionalFormatting>
  <conditionalFormatting sqref="A44:A50">
    <cfRule type="duplicateValues" dxfId="613" priority="113"/>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rowBreaks count="1" manualBreakCount="1">
    <brk id="36" max="16383" man="1"/>
  </rowBreaks>
  <drawing r:id="rId2"/>
  <legacyDrawing r:id="rId3"/>
  <oleObjects>
    <mc:AlternateContent xmlns:mc="http://schemas.openxmlformats.org/markup-compatibility/2006">
      <mc:Choice Requires="x14">
        <oleObject progId="Word.Picture.8" shapeId="3074"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3074"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73" stopIfTrue="1" operator="equal" id="{9560666E-A96C-4966-A668-856BA8E53DAB}">
            <xm:f>Critério!$B$10</xm:f>
            <x14:dxf>
              <fill>
                <patternFill>
                  <bgColor rgb="FF0070C0"/>
                </patternFill>
              </fill>
            </x14:dxf>
          </x14:cfRule>
          <x14:cfRule type="cellIs" priority="74" stopIfTrue="1" operator="equal" id="{97DE4E1B-1C73-4044-8888-FB4EB16C2512}">
            <xm:f>Critério!$B$9</xm:f>
            <x14:dxf>
              <fill>
                <patternFill>
                  <bgColor rgb="FF00FF00"/>
                </patternFill>
              </fill>
            </x14:dxf>
          </x14:cfRule>
          <x14:cfRule type="cellIs" priority="75" stopIfTrue="1" operator="equal" id="{E8EEEE3B-E329-42D7-9841-C487EE917176}">
            <xm:f>Critério!$B$8</xm:f>
            <x14:dxf>
              <fill>
                <patternFill>
                  <bgColor rgb="FFFFFF00"/>
                </patternFill>
              </fill>
            </x14:dxf>
          </x14:cfRule>
          <x14:cfRule type="cellIs" priority="76" stopIfTrue="1" operator="equal" id="{A814087A-E52E-45B5-B7BB-00B21B3EA150}">
            <xm:f>Critério!$B$7</xm:f>
            <x14:dxf>
              <fill>
                <patternFill>
                  <bgColor rgb="FFFF0000"/>
                </patternFill>
              </fill>
            </x14:dxf>
          </x14:cfRule>
          <x14:cfRule type="cellIs" priority="77" stopIfTrue="1" operator="equal" id="{A1C5D619-E57E-44EF-8E3B-5D907AACA255}">
            <xm:f>Critério!$B$6</xm:f>
            <x14:dxf>
              <fill>
                <patternFill>
                  <bgColor rgb="FFC00000"/>
                </patternFill>
              </fill>
            </x14:dxf>
          </x14:cfRule>
          <x14:cfRule type="cellIs" priority="78" stopIfTrue="1" operator="equal" id="{A5B21568-A018-44C7-A385-E4B6DFCFA221}">
            <xm:f>Critério!$B$5</xm:f>
            <x14:dxf>
              <fill>
                <patternFill>
                  <bgColor rgb="FFFFC000"/>
                </patternFill>
              </fill>
            </x14:dxf>
          </x14:cfRule>
          <xm:sqref>D5:D6 D8:D19</xm:sqref>
        </x14:conditionalFormatting>
        <x14:conditionalFormatting xmlns:xm="http://schemas.microsoft.com/office/excel/2006/main">
          <x14:cfRule type="cellIs" priority="47" stopIfTrue="1" operator="equal" id="{F066DE51-3EA2-46BB-B1FD-D5ADDA2E9496}">
            <xm:f>Critério!$B$10</xm:f>
            <x14:dxf>
              <fill>
                <patternFill>
                  <bgColor rgb="FF0070C0"/>
                </patternFill>
              </fill>
            </x14:dxf>
          </x14:cfRule>
          <x14:cfRule type="cellIs" priority="48" stopIfTrue="1" operator="equal" id="{AE378DCA-C959-45A9-9B8F-077E4A29A241}">
            <xm:f>Critério!$B$9</xm:f>
            <x14:dxf>
              <fill>
                <patternFill>
                  <bgColor rgb="FF00FF00"/>
                </patternFill>
              </fill>
            </x14:dxf>
          </x14:cfRule>
          <x14:cfRule type="cellIs" priority="49" stopIfTrue="1" operator="equal" id="{FC9BFCF1-9F0F-40E9-BA1E-0F80392ED3DE}">
            <xm:f>Critério!$B$8</xm:f>
            <x14:dxf>
              <fill>
                <patternFill>
                  <bgColor rgb="FFFFFF00"/>
                </patternFill>
              </fill>
            </x14:dxf>
          </x14:cfRule>
          <x14:cfRule type="cellIs" priority="50" stopIfTrue="1" operator="equal" id="{4D9B83ED-F393-4FB9-9536-5B863F625E3B}">
            <xm:f>Critério!$B$7</xm:f>
            <x14:dxf>
              <fill>
                <patternFill>
                  <bgColor rgb="FFFF0000"/>
                </patternFill>
              </fill>
            </x14:dxf>
          </x14:cfRule>
          <x14:cfRule type="cellIs" priority="51" stopIfTrue="1" operator="equal" id="{34A8F629-6B8B-4B7A-9F1D-8C0E8F7FF188}">
            <xm:f>Critério!$B$6</xm:f>
            <x14:dxf>
              <fill>
                <patternFill>
                  <bgColor rgb="FFC00000"/>
                </patternFill>
              </fill>
            </x14:dxf>
          </x14:cfRule>
          <x14:cfRule type="cellIs" priority="52" stopIfTrue="1" operator="equal" id="{3E78CB42-2283-4D8C-AE1B-D4DA70F369E5}">
            <xm:f>Critério!$B$5</xm:f>
            <x14:dxf>
              <fill>
                <patternFill>
                  <bgColor rgb="FFFFC000"/>
                </patternFill>
              </fill>
            </x14:dxf>
          </x14:cfRule>
          <xm:sqref>D21:D31</xm:sqref>
        </x14:conditionalFormatting>
        <x14:conditionalFormatting xmlns:xm="http://schemas.microsoft.com/office/excel/2006/main">
          <x14:cfRule type="cellIs" priority="34" stopIfTrue="1" operator="equal" id="{A764F0C1-1435-40D5-AA8E-FD2EB25E5A30}">
            <xm:f>Critério!$B$10</xm:f>
            <x14:dxf>
              <fill>
                <patternFill>
                  <bgColor rgb="FF0070C0"/>
                </patternFill>
              </fill>
            </x14:dxf>
          </x14:cfRule>
          <x14:cfRule type="cellIs" priority="35" stopIfTrue="1" operator="equal" id="{72A35BE2-0495-4878-852C-6DDA713E3E70}">
            <xm:f>Critério!$B$9</xm:f>
            <x14:dxf>
              <fill>
                <patternFill>
                  <bgColor rgb="FF00FF00"/>
                </patternFill>
              </fill>
            </x14:dxf>
          </x14:cfRule>
          <x14:cfRule type="cellIs" priority="36" stopIfTrue="1" operator="equal" id="{AB4EE69A-5AC0-4B06-A3DB-52F962AECBEE}">
            <xm:f>Critério!$B$8</xm:f>
            <x14:dxf>
              <fill>
                <patternFill>
                  <bgColor rgb="FFFFFF00"/>
                </patternFill>
              </fill>
            </x14:dxf>
          </x14:cfRule>
          <x14:cfRule type="cellIs" priority="37" stopIfTrue="1" operator="equal" id="{77A7C1BA-17C9-4A5B-8318-F7DD9EB790E9}">
            <xm:f>Critério!$B$7</xm:f>
            <x14:dxf>
              <fill>
                <patternFill>
                  <bgColor rgb="FFFF0000"/>
                </patternFill>
              </fill>
            </x14:dxf>
          </x14:cfRule>
          <x14:cfRule type="cellIs" priority="38" stopIfTrue="1" operator="equal" id="{2ABE0CF1-362C-4F37-B58D-8ACE71F9E83B}">
            <xm:f>Critério!$B$6</xm:f>
            <x14:dxf>
              <fill>
                <patternFill>
                  <bgColor rgb="FFC00000"/>
                </patternFill>
              </fill>
            </x14:dxf>
          </x14:cfRule>
          <x14:cfRule type="cellIs" priority="39" stopIfTrue="1" operator="equal" id="{73BD6E6D-887D-4E08-8AD7-8F2BFF059D08}">
            <xm:f>Critério!$B$5</xm:f>
            <x14:dxf>
              <fill>
                <patternFill>
                  <bgColor rgb="FFFFC000"/>
                </patternFill>
              </fill>
            </x14:dxf>
          </x14:cfRule>
          <xm:sqref>D33:D36</xm:sqref>
        </x14:conditionalFormatting>
        <x14:conditionalFormatting xmlns:xm="http://schemas.microsoft.com/office/excel/2006/main">
          <x14:cfRule type="cellIs" priority="21" stopIfTrue="1" operator="equal" id="{42917C0E-A4C3-4F5D-AD1C-BF8405023D7A}">
            <xm:f>Critério!$B$10</xm:f>
            <x14:dxf>
              <fill>
                <patternFill>
                  <bgColor rgb="FF0070C0"/>
                </patternFill>
              </fill>
            </x14:dxf>
          </x14:cfRule>
          <x14:cfRule type="cellIs" priority="22" stopIfTrue="1" operator="equal" id="{3FD1A5B4-7BF1-4FD7-B0E4-86C2CBA3DD6C}">
            <xm:f>Critério!$B$9</xm:f>
            <x14:dxf>
              <fill>
                <patternFill>
                  <bgColor rgb="FF00FF00"/>
                </patternFill>
              </fill>
            </x14:dxf>
          </x14:cfRule>
          <x14:cfRule type="cellIs" priority="23" stopIfTrue="1" operator="equal" id="{F9AFAF50-F934-44BF-904B-6EED33EB3E57}">
            <xm:f>Critério!$B$8</xm:f>
            <x14:dxf>
              <fill>
                <patternFill>
                  <bgColor rgb="FFFFFF00"/>
                </patternFill>
              </fill>
            </x14:dxf>
          </x14:cfRule>
          <x14:cfRule type="cellIs" priority="24" stopIfTrue="1" operator="equal" id="{9D35793F-CDE0-4B5C-8653-4973324009E2}">
            <xm:f>Critério!$B$7</xm:f>
            <x14:dxf>
              <fill>
                <patternFill>
                  <bgColor rgb="FFFF0000"/>
                </patternFill>
              </fill>
            </x14:dxf>
          </x14:cfRule>
          <x14:cfRule type="cellIs" priority="25" stopIfTrue="1" operator="equal" id="{0F82F30E-E3B2-43E1-87A0-91E87EAD6FDB}">
            <xm:f>Critério!$B$6</xm:f>
            <x14:dxf>
              <fill>
                <patternFill>
                  <bgColor rgb="FFC00000"/>
                </patternFill>
              </fill>
            </x14:dxf>
          </x14:cfRule>
          <x14:cfRule type="cellIs" priority="26" stopIfTrue="1" operator="equal" id="{FD2C00A1-9A78-491B-B88D-AE6EDB1A1A81}">
            <xm:f>Critério!$B$5</xm:f>
            <x14:dxf>
              <fill>
                <patternFill>
                  <bgColor rgb="FFFFC000"/>
                </patternFill>
              </fill>
            </x14:dxf>
          </x14:cfRule>
          <xm:sqref>D38:D42</xm:sqref>
        </x14:conditionalFormatting>
        <x14:conditionalFormatting xmlns:xm="http://schemas.microsoft.com/office/excel/2006/main">
          <x14:cfRule type="cellIs" priority="8" stopIfTrue="1" operator="equal" id="{8D741609-2D87-4849-B9FB-3A3F20A178A4}">
            <xm:f>Critério!$B$10</xm:f>
            <x14:dxf>
              <fill>
                <patternFill>
                  <bgColor rgb="FF0070C0"/>
                </patternFill>
              </fill>
            </x14:dxf>
          </x14:cfRule>
          <x14:cfRule type="cellIs" priority="9" stopIfTrue="1" operator="equal" id="{399D8165-1B51-456F-95C2-78A14E6B3900}">
            <xm:f>Critério!$B$9</xm:f>
            <x14:dxf>
              <fill>
                <patternFill>
                  <bgColor rgb="FF00FF00"/>
                </patternFill>
              </fill>
            </x14:dxf>
          </x14:cfRule>
          <x14:cfRule type="cellIs" priority="10" stopIfTrue="1" operator="equal" id="{5097F7E9-65E7-4586-806B-13517670B01A}">
            <xm:f>Critério!$B$8</xm:f>
            <x14:dxf>
              <fill>
                <patternFill>
                  <bgColor rgb="FFFFFF00"/>
                </patternFill>
              </fill>
            </x14:dxf>
          </x14:cfRule>
          <x14:cfRule type="cellIs" priority="11" stopIfTrue="1" operator="equal" id="{F38CFDC1-B9AA-42E3-BD03-2D9817473FFD}">
            <xm:f>Critério!$B$7</xm:f>
            <x14:dxf>
              <fill>
                <patternFill>
                  <bgColor rgb="FFFF0000"/>
                </patternFill>
              </fill>
            </x14:dxf>
          </x14:cfRule>
          <x14:cfRule type="cellIs" priority="12" stopIfTrue="1" operator="equal" id="{FC06B6F1-9298-459D-9AA1-3EADFF2847F0}">
            <xm:f>Critério!$B$6</xm:f>
            <x14:dxf>
              <fill>
                <patternFill>
                  <bgColor rgb="FFC00000"/>
                </patternFill>
              </fill>
            </x14:dxf>
          </x14:cfRule>
          <x14:cfRule type="cellIs" priority="13" stopIfTrue="1" operator="equal" id="{2B9C30F6-EF8C-4D95-A0F0-C50C2FE31181}">
            <xm:f>Critério!$B$5</xm:f>
            <x14:dxf>
              <fill>
                <patternFill>
                  <bgColor rgb="FFFFC000"/>
                </patternFill>
              </fill>
            </x14:dxf>
          </x14:cfRule>
          <xm:sqref>D44:D50</xm:sqref>
        </x14:conditionalFormatting>
        <x14:conditionalFormatting xmlns:xm="http://schemas.microsoft.com/office/excel/2006/main">
          <x14:cfRule type="cellIs" priority="66" operator="equal" id="{80C2F2A9-AC9C-431C-A310-189FECE34C08}">
            <xm:f>Critério!$B$14</xm:f>
            <x14:dxf>
              <fill>
                <patternFill>
                  <bgColor rgb="FFFFC000"/>
                </patternFill>
              </fill>
            </x14:dxf>
          </x14:cfRule>
          <x14:cfRule type="cellIs" priority="67" operator="equal" id="{717F4229-FF5D-4F52-8F84-2954AAC13FAD}">
            <xm:f>Critério!$B$15</xm:f>
            <x14:dxf>
              <fill>
                <patternFill>
                  <bgColor rgb="FFC00000"/>
                </patternFill>
              </fill>
            </x14:dxf>
          </x14:cfRule>
          <x14:cfRule type="cellIs" priority="68" operator="equal" id="{DED8E946-05DD-4EB8-9B66-73040794ED50}">
            <xm:f>Critério!$B$16</xm:f>
            <x14:dxf>
              <fill>
                <patternFill>
                  <bgColor rgb="FFFF0000"/>
                </patternFill>
              </fill>
            </x14:dxf>
          </x14:cfRule>
          <x14:cfRule type="cellIs" priority="69" operator="equal" id="{9B2417DE-D60D-4FC5-BD08-2719498537BA}">
            <xm:f>Critério!$B$17</xm:f>
            <x14:dxf>
              <fill>
                <patternFill>
                  <bgColor theme="9" tint="-0.24994659260841701"/>
                </patternFill>
              </fill>
            </x14:dxf>
          </x14:cfRule>
          <x14:cfRule type="cellIs" priority="70" operator="equal" id="{3F7F45E5-B09F-4A5B-96BE-791870B3045D}">
            <xm:f>Critério!$B$18</xm:f>
            <x14:dxf>
              <fill>
                <patternFill>
                  <bgColor rgb="FFFFFF00"/>
                </patternFill>
              </fill>
            </x14:dxf>
          </x14:cfRule>
          <x14:cfRule type="cellIs" priority="71" operator="equal" id="{EB6D7064-AB95-40AB-9F04-A50C9A4AC8FB}">
            <xm:f>Critério!$B$19</xm:f>
            <x14:dxf>
              <fill>
                <patternFill>
                  <bgColor rgb="FF00FF00"/>
                </patternFill>
              </fill>
            </x14:dxf>
          </x14:cfRule>
          <x14:cfRule type="cellIs" priority="72" operator="equal" id="{8281470B-244A-41CC-8CB1-F190D994A3FF}">
            <xm:f>Critério!$B$20</xm:f>
            <x14:dxf>
              <fill>
                <patternFill>
                  <bgColor rgb="FF0070C0"/>
                </patternFill>
              </fill>
            </x14:dxf>
          </x14:cfRule>
          <xm:sqref>E5:E6 E8:E19</xm:sqref>
        </x14:conditionalFormatting>
        <x14:conditionalFormatting xmlns:xm="http://schemas.microsoft.com/office/excel/2006/main">
          <x14:cfRule type="cellIs" priority="40" operator="equal" id="{B1A1BAC5-2D94-4696-BAD2-81518846E474}">
            <xm:f>Critério!$B$14</xm:f>
            <x14:dxf>
              <fill>
                <patternFill>
                  <bgColor rgb="FFFFC000"/>
                </patternFill>
              </fill>
            </x14:dxf>
          </x14:cfRule>
          <x14:cfRule type="cellIs" priority="41" operator="equal" id="{097A505F-14F7-4D27-BA2A-19BC29386B7A}">
            <xm:f>Critério!$B$15</xm:f>
            <x14:dxf>
              <fill>
                <patternFill>
                  <bgColor rgb="FFC00000"/>
                </patternFill>
              </fill>
            </x14:dxf>
          </x14:cfRule>
          <x14:cfRule type="cellIs" priority="42" operator="equal" id="{0869AAE9-C0E3-49C3-9DD0-68DB46CDB8E4}">
            <xm:f>Critério!$B$16</xm:f>
            <x14:dxf>
              <fill>
                <patternFill>
                  <bgColor rgb="FFFF0000"/>
                </patternFill>
              </fill>
            </x14:dxf>
          </x14:cfRule>
          <x14:cfRule type="cellIs" priority="43" operator="equal" id="{31D0DD55-EB7C-4A95-8B76-102C9F48FFFF}">
            <xm:f>Critério!$B$17</xm:f>
            <x14:dxf>
              <fill>
                <patternFill>
                  <bgColor theme="9" tint="-0.24994659260841701"/>
                </patternFill>
              </fill>
            </x14:dxf>
          </x14:cfRule>
          <x14:cfRule type="cellIs" priority="44" operator="equal" id="{439BFEC8-DE87-4B1F-8E63-96C25A22CDBA}">
            <xm:f>Critério!$B$18</xm:f>
            <x14:dxf>
              <fill>
                <patternFill>
                  <bgColor rgb="FFFFFF00"/>
                </patternFill>
              </fill>
            </x14:dxf>
          </x14:cfRule>
          <x14:cfRule type="cellIs" priority="45" operator="equal" id="{2038177B-0862-455F-9DF7-3007D431E7E6}">
            <xm:f>Critério!$B$19</xm:f>
            <x14:dxf>
              <fill>
                <patternFill>
                  <bgColor rgb="FF00FF00"/>
                </patternFill>
              </fill>
            </x14:dxf>
          </x14:cfRule>
          <x14:cfRule type="cellIs" priority="46" operator="equal" id="{7C477F49-69E4-42A6-9E96-0296FD09A0FB}">
            <xm:f>Critério!$B$20</xm:f>
            <x14:dxf>
              <fill>
                <patternFill>
                  <bgColor rgb="FF0070C0"/>
                </patternFill>
              </fill>
            </x14:dxf>
          </x14:cfRule>
          <xm:sqref>E21:E31</xm:sqref>
        </x14:conditionalFormatting>
        <x14:conditionalFormatting xmlns:xm="http://schemas.microsoft.com/office/excel/2006/main">
          <x14:cfRule type="cellIs" priority="27" operator="equal" id="{6ED39B84-C171-488D-99AB-ABCE402CD6FB}">
            <xm:f>Critério!$B$14</xm:f>
            <x14:dxf>
              <fill>
                <patternFill>
                  <bgColor rgb="FFFFC000"/>
                </patternFill>
              </fill>
            </x14:dxf>
          </x14:cfRule>
          <x14:cfRule type="cellIs" priority="28" operator="equal" id="{AD839362-4A5A-4F59-AC56-9DE198F45551}">
            <xm:f>Critério!$B$15</xm:f>
            <x14:dxf>
              <fill>
                <patternFill>
                  <bgColor rgb="FFC00000"/>
                </patternFill>
              </fill>
            </x14:dxf>
          </x14:cfRule>
          <x14:cfRule type="cellIs" priority="29" operator="equal" id="{FA54D5EF-AF3F-4242-B914-1535DC19A7D5}">
            <xm:f>Critério!$B$16</xm:f>
            <x14:dxf>
              <fill>
                <patternFill>
                  <bgColor rgb="FFFF0000"/>
                </patternFill>
              </fill>
            </x14:dxf>
          </x14:cfRule>
          <x14:cfRule type="cellIs" priority="30" operator="equal" id="{BEB44B0B-E150-489B-8B75-1209F90A23C0}">
            <xm:f>Critério!$B$17</xm:f>
            <x14:dxf>
              <fill>
                <patternFill>
                  <bgColor theme="9" tint="-0.24994659260841701"/>
                </patternFill>
              </fill>
            </x14:dxf>
          </x14:cfRule>
          <x14:cfRule type="cellIs" priority="31" operator="equal" id="{8873EDE3-827B-46F9-A2D3-E742AFC0BD20}">
            <xm:f>Critério!$B$18</xm:f>
            <x14:dxf>
              <fill>
                <patternFill>
                  <bgColor rgb="FFFFFF00"/>
                </patternFill>
              </fill>
            </x14:dxf>
          </x14:cfRule>
          <x14:cfRule type="cellIs" priority="32" operator="equal" id="{8BBA7A6D-21FF-4840-9FD7-FD79489C32D3}">
            <xm:f>Critério!$B$19</xm:f>
            <x14:dxf>
              <fill>
                <patternFill>
                  <bgColor rgb="FF00FF00"/>
                </patternFill>
              </fill>
            </x14:dxf>
          </x14:cfRule>
          <x14:cfRule type="cellIs" priority="33" operator="equal" id="{08CBFBA3-4D1B-4810-A90B-761A35C8FFB8}">
            <xm:f>Critério!$B$20</xm:f>
            <x14:dxf>
              <fill>
                <patternFill>
                  <bgColor rgb="FF0070C0"/>
                </patternFill>
              </fill>
            </x14:dxf>
          </x14:cfRule>
          <xm:sqref>E33:E36</xm:sqref>
        </x14:conditionalFormatting>
        <x14:conditionalFormatting xmlns:xm="http://schemas.microsoft.com/office/excel/2006/main">
          <x14:cfRule type="cellIs" priority="14" operator="equal" id="{036182C3-9597-488C-B0AB-FF0D40DA1991}">
            <xm:f>Critério!$B$14</xm:f>
            <x14:dxf>
              <fill>
                <patternFill>
                  <bgColor rgb="FFFFC000"/>
                </patternFill>
              </fill>
            </x14:dxf>
          </x14:cfRule>
          <x14:cfRule type="cellIs" priority="15" operator="equal" id="{B37933CD-A335-42B1-AF01-2E1367629CB1}">
            <xm:f>Critério!$B$15</xm:f>
            <x14:dxf>
              <fill>
                <patternFill>
                  <bgColor rgb="FFC00000"/>
                </patternFill>
              </fill>
            </x14:dxf>
          </x14:cfRule>
          <x14:cfRule type="cellIs" priority="16" operator="equal" id="{1958A1A6-7197-48F6-BAE1-1D53942D1FFD}">
            <xm:f>Critério!$B$16</xm:f>
            <x14:dxf>
              <fill>
                <patternFill>
                  <bgColor rgb="FFFF0000"/>
                </patternFill>
              </fill>
            </x14:dxf>
          </x14:cfRule>
          <x14:cfRule type="cellIs" priority="17" operator="equal" id="{65F2D22A-DE60-48F7-9A01-2B7ECB78BCB1}">
            <xm:f>Critério!$B$17</xm:f>
            <x14:dxf>
              <fill>
                <patternFill>
                  <bgColor theme="9" tint="-0.24994659260841701"/>
                </patternFill>
              </fill>
            </x14:dxf>
          </x14:cfRule>
          <x14:cfRule type="cellIs" priority="18" operator="equal" id="{BDE573F9-941A-4CDF-A6E0-450D2B07BCFC}">
            <xm:f>Critério!$B$18</xm:f>
            <x14:dxf>
              <fill>
                <patternFill>
                  <bgColor rgb="FFFFFF00"/>
                </patternFill>
              </fill>
            </x14:dxf>
          </x14:cfRule>
          <x14:cfRule type="cellIs" priority="19" operator="equal" id="{909F364A-9AD8-423B-9257-736E533010F9}">
            <xm:f>Critério!$B$19</xm:f>
            <x14:dxf>
              <fill>
                <patternFill>
                  <bgColor rgb="FF00FF00"/>
                </patternFill>
              </fill>
            </x14:dxf>
          </x14:cfRule>
          <x14:cfRule type="cellIs" priority="20" operator="equal" id="{AD0C9EE5-B35B-41C8-9EF8-9912DFB2437F}">
            <xm:f>Critério!$B$20</xm:f>
            <x14:dxf>
              <fill>
                <patternFill>
                  <bgColor rgb="FF0070C0"/>
                </patternFill>
              </fill>
            </x14:dxf>
          </x14:cfRule>
          <xm:sqref>E38:E42</xm:sqref>
        </x14:conditionalFormatting>
        <x14:conditionalFormatting xmlns:xm="http://schemas.microsoft.com/office/excel/2006/main">
          <x14:cfRule type="cellIs" priority="1" operator="equal" id="{50E87665-E81B-42A2-88D0-BABEEB70ED23}">
            <xm:f>Critério!$B$14</xm:f>
            <x14:dxf>
              <fill>
                <patternFill>
                  <bgColor rgb="FFFFC000"/>
                </patternFill>
              </fill>
            </x14:dxf>
          </x14:cfRule>
          <x14:cfRule type="cellIs" priority="2" operator="equal" id="{2CD8E17F-4D8C-497B-A7C5-46DE838D385D}">
            <xm:f>Critério!$B$15</xm:f>
            <x14:dxf>
              <fill>
                <patternFill>
                  <bgColor rgb="FFC00000"/>
                </patternFill>
              </fill>
            </x14:dxf>
          </x14:cfRule>
          <x14:cfRule type="cellIs" priority="3" operator="equal" id="{A4057B2E-8CA0-4372-9D5B-DB29BCE3AFD4}">
            <xm:f>Critério!$B$16</xm:f>
            <x14:dxf>
              <fill>
                <patternFill>
                  <bgColor rgb="FFFF0000"/>
                </patternFill>
              </fill>
            </x14:dxf>
          </x14:cfRule>
          <x14:cfRule type="cellIs" priority="4" operator="equal" id="{80DD7D94-A84D-497A-9E65-BBB307680183}">
            <xm:f>Critério!$B$17</xm:f>
            <x14:dxf>
              <fill>
                <patternFill>
                  <bgColor theme="9" tint="-0.24994659260841701"/>
                </patternFill>
              </fill>
            </x14:dxf>
          </x14:cfRule>
          <x14:cfRule type="cellIs" priority="5" operator="equal" id="{8666D420-CE3E-4D68-A5D9-B7530E38E98F}">
            <xm:f>Critério!$B$18</xm:f>
            <x14:dxf>
              <fill>
                <patternFill>
                  <bgColor rgb="FFFFFF00"/>
                </patternFill>
              </fill>
            </x14:dxf>
          </x14:cfRule>
          <x14:cfRule type="cellIs" priority="6" operator="equal" id="{9561C381-5B97-4477-84BE-936F51E4EC9A}">
            <xm:f>Critério!$B$19</xm:f>
            <x14:dxf>
              <fill>
                <patternFill>
                  <bgColor rgb="FF00FF00"/>
                </patternFill>
              </fill>
            </x14:dxf>
          </x14:cfRule>
          <x14:cfRule type="cellIs" priority="7" operator="equal" id="{7FBF9234-E848-49B4-A8D2-893445D1F9C2}">
            <xm:f>Critério!$B$20</xm:f>
            <x14:dxf>
              <fill>
                <patternFill>
                  <bgColor rgb="FF0070C0"/>
                </patternFill>
              </fill>
            </x14:dxf>
          </x14:cfRule>
          <xm:sqref>E44:E50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89B584B-AE25-4C5F-A409-091BF7382AF1}">
          <x14:formula1>
            <xm:f>Critério!$B$14:$B$20</xm:f>
          </x14:formula1>
          <xm:sqref>E5:E6 E21:E31 E33:E36 E38:E42 E44:E50 E8:E19</xm:sqref>
        </x14:dataValidation>
        <x14:dataValidation type="list" allowBlank="1" showInputMessage="1" showErrorMessage="1" xr:uid="{3AFD1F32-1A2A-4BF5-8001-D680EF06D49E}">
          <x14:formula1>
            <xm:f>Critério!$B$5:$B$10</xm:f>
          </x14:formula1>
          <xm:sqref>D5:D6 D21:D31 D33:D36 D38:D42 D44:D50 D8:D19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20"/>
  <sheetViews>
    <sheetView showGridLines="0" zoomScaleNormal="100" workbookViewId="0">
      <selection activeCell="H3" sqref="H1:J1048576"/>
    </sheetView>
  </sheetViews>
  <sheetFormatPr defaultColWidth="18.4414062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191</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107" t="e">
        <f>IF(#REF!=Critério!$B$5,Critério!$B$5,SUM(IF(D4=Critério!$B$5,100%,D4)*SUM(#REF!),IF(D16=Critério!$B$5,100%,D16)*SUM(#REF!)))/#REF!</f>
        <v>#REF!</v>
      </c>
      <c r="E3" s="60" t="s">
        <v>52</v>
      </c>
      <c r="F3" s="62" t="s">
        <v>53</v>
      </c>
    </row>
    <row r="4" spans="1:6" x14ac:dyDescent="0.3">
      <c r="A4" s="63" t="s">
        <v>192</v>
      </c>
      <c r="B4" s="54"/>
      <c r="C4" s="54"/>
      <c r="D4" s="55" t="e">
        <f>IF(#REF!=COUNTA(A5:A15),Critério!$B$5,SUMPRODUCT(#REF!,#REF!)/SUM(#REF!))</f>
        <v>#REF!</v>
      </c>
      <c r="E4" s="54"/>
      <c r="F4" s="145"/>
    </row>
    <row r="5" spans="1:6" ht="153.75" customHeight="1" x14ac:dyDescent="0.3">
      <c r="A5" s="68" t="s">
        <v>193</v>
      </c>
      <c r="B5" s="56" t="s">
        <v>194</v>
      </c>
      <c r="C5" s="56" t="s">
        <v>195</v>
      </c>
      <c r="D5" s="57">
        <v>3</v>
      </c>
      <c r="E5" s="58" t="s">
        <v>31</v>
      </c>
      <c r="F5" s="98"/>
    </row>
    <row r="6" spans="1:6" ht="59.4" customHeight="1" x14ac:dyDescent="0.3">
      <c r="A6" s="68" t="s">
        <v>196</v>
      </c>
      <c r="B6" s="56" t="s">
        <v>197</v>
      </c>
      <c r="C6" s="96" t="s">
        <v>198</v>
      </c>
      <c r="D6" s="57">
        <v>3</v>
      </c>
      <c r="E6" s="58" t="s">
        <v>31</v>
      </c>
      <c r="F6" s="98"/>
    </row>
    <row r="7" spans="1:6" ht="105.9" customHeight="1" x14ac:dyDescent="0.3">
      <c r="A7" s="68" t="s">
        <v>199</v>
      </c>
      <c r="B7" s="152" t="s">
        <v>200</v>
      </c>
      <c r="C7" s="153" t="s">
        <v>201</v>
      </c>
      <c r="D7" s="57">
        <v>3</v>
      </c>
      <c r="E7" s="58" t="s">
        <v>31</v>
      </c>
      <c r="F7" s="98"/>
    </row>
    <row r="8" spans="1:6" ht="95.25" customHeight="1" x14ac:dyDescent="0.3">
      <c r="A8" s="68" t="s">
        <v>202</v>
      </c>
      <c r="B8" s="56" t="s">
        <v>203</v>
      </c>
      <c r="C8" s="96" t="s">
        <v>204</v>
      </c>
      <c r="D8" s="57">
        <v>3</v>
      </c>
      <c r="E8" s="58" t="s">
        <v>31</v>
      </c>
      <c r="F8" s="98"/>
    </row>
    <row r="9" spans="1:6" ht="214.2" x14ac:dyDescent="0.3">
      <c r="A9" s="68" t="s">
        <v>205</v>
      </c>
      <c r="B9" s="152" t="s">
        <v>206</v>
      </c>
      <c r="C9" s="153" t="s">
        <v>207</v>
      </c>
      <c r="D9" s="57">
        <v>3</v>
      </c>
      <c r="E9" s="58" t="s">
        <v>31</v>
      </c>
      <c r="F9" s="98"/>
    </row>
    <row r="10" spans="1:6" ht="63" customHeight="1" x14ac:dyDescent="0.3">
      <c r="A10" s="68" t="s">
        <v>208</v>
      </c>
      <c r="B10" s="56" t="s">
        <v>209</v>
      </c>
      <c r="C10" s="153" t="s">
        <v>207</v>
      </c>
      <c r="D10" s="57">
        <v>3</v>
      </c>
      <c r="E10" s="58" t="s">
        <v>31</v>
      </c>
      <c r="F10" s="98"/>
    </row>
    <row r="11" spans="1:6" ht="120.9" customHeight="1" x14ac:dyDescent="0.3">
      <c r="A11" s="68" t="s">
        <v>210</v>
      </c>
      <c r="B11" s="56" t="s">
        <v>211</v>
      </c>
      <c r="C11" s="96" t="s">
        <v>212</v>
      </c>
      <c r="D11" s="57">
        <v>3</v>
      </c>
      <c r="E11" s="58" t="s">
        <v>31</v>
      </c>
      <c r="F11" s="98"/>
    </row>
    <row r="12" spans="1:6" ht="76.5" customHeight="1" x14ac:dyDescent="0.3">
      <c r="A12" s="68" t="s">
        <v>213</v>
      </c>
      <c r="B12" s="56" t="s">
        <v>214</v>
      </c>
      <c r="C12" s="96" t="s">
        <v>215</v>
      </c>
      <c r="D12" s="57">
        <v>3</v>
      </c>
      <c r="E12" s="58" t="s">
        <v>31</v>
      </c>
      <c r="F12" s="98"/>
    </row>
    <row r="13" spans="1:6" ht="45" customHeight="1" x14ac:dyDescent="0.3">
      <c r="A13" s="68" t="s">
        <v>216</v>
      </c>
      <c r="B13" s="56" t="s">
        <v>217</v>
      </c>
      <c r="C13" s="96" t="s">
        <v>218</v>
      </c>
      <c r="D13" s="57">
        <v>3</v>
      </c>
      <c r="E13" s="58" t="s">
        <v>31</v>
      </c>
      <c r="F13" s="98"/>
    </row>
    <row r="14" spans="1:6" ht="57.75" customHeight="1" x14ac:dyDescent="0.3">
      <c r="A14" s="68" t="s">
        <v>219</v>
      </c>
      <c r="B14" s="56" t="s">
        <v>220</v>
      </c>
      <c r="C14" s="56" t="s">
        <v>221</v>
      </c>
      <c r="D14" s="57">
        <v>3</v>
      </c>
      <c r="E14" s="58" t="s">
        <v>31</v>
      </c>
      <c r="F14" s="98"/>
    </row>
    <row r="15" spans="1:6" ht="126" customHeight="1" x14ac:dyDescent="0.3">
      <c r="A15" s="68" t="s">
        <v>222</v>
      </c>
      <c r="B15" s="152" t="s">
        <v>223</v>
      </c>
      <c r="C15" s="153" t="s">
        <v>224</v>
      </c>
      <c r="D15" s="57">
        <v>3</v>
      </c>
      <c r="E15" s="58" t="s">
        <v>31</v>
      </c>
      <c r="F15" s="98"/>
    </row>
    <row r="16" spans="1:6" x14ac:dyDescent="0.3">
      <c r="A16" s="156" t="s">
        <v>225</v>
      </c>
      <c r="B16" s="154"/>
      <c r="C16" s="154"/>
      <c r="D16" s="155" t="e">
        <f>IF(#REF!=COUNTA(A17:A20),Critério!$B$5,SUMPRODUCT(#REF!,#REF!)/SUM(#REF!))</f>
        <v>#REF!</v>
      </c>
      <c r="E16" s="154"/>
      <c r="F16" s="157"/>
    </row>
    <row r="17" spans="1:6" ht="143.25" customHeight="1" x14ac:dyDescent="0.3">
      <c r="A17" s="68" t="s">
        <v>226</v>
      </c>
      <c r="B17" s="56" t="s">
        <v>227</v>
      </c>
      <c r="C17" s="96" t="s">
        <v>228</v>
      </c>
      <c r="D17" s="57">
        <v>3</v>
      </c>
      <c r="E17" s="58" t="s">
        <v>31</v>
      </c>
      <c r="F17" s="99"/>
    </row>
    <row r="18" spans="1:6" s="2" customFormat="1" ht="123" customHeight="1" x14ac:dyDescent="0.3">
      <c r="A18" s="68" t="s">
        <v>229</v>
      </c>
      <c r="B18" s="56" t="s">
        <v>230</v>
      </c>
      <c r="C18" s="96" t="s">
        <v>231</v>
      </c>
      <c r="D18" s="57">
        <v>3</v>
      </c>
      <c r="E18" s="58" t="s">
        <v>31</v>
      </c>
      <c r="F18" s="158"/>
    </row>
    <row r="19" spans="1:6" ht="39.75" customHeight="1" x14ac:dyDescent="0.3">
      <c r="A19" s="68" t="s">
        <v>232</v>
      </c>
      <c r="B19" s="56" t="s">
        <v>233</v>
      </c>
      <c r="C19" s="96" t="s">
        <v>234</v>
      </c>
      <c r="D19" s="57">
        <v>3</v>
      </c>
      <c r="E19" s="58" t="s">
        <v>31</v>
      </c>
      <c r="F19" s="99"/>
    </row>
    <row r="20" spans="1:6" ht="135.75" customHeight="1" thickBot="1" x14ac:dyDescent="0.35">
      <c r="A20" s="100" t="s">
        <v>235</v>
      </c>
      <c r="B20" s="72" t="s">
        <v>236</v>
      </c>
      <c r="C20" s="101" t="s">
        <v>237</v>
      </c>
      <c r="D20" s="73">
        <v>3</v>
      </c>
      <c r="E20" s="74" t="s">
        <v>31</v>
      </c>
      <c r="F20" s="159"/>
    </row>
  </sheetData>
  <autoFilter ref="A3:F3" xr:uid="{00000000-0001-0000-0500-000000000000}"/>
  <mergeCells count="1">
    <mergeCell ref="A1:F2"/>
  </mergeCells>
  <phoneticPr fontId="12" type="noConversion"/>
  <conditionalFormatting sqref="A3">
    <cfRule type="duplicateValues" dxfId="547" priority="45"/>
  </conditionalFormatting>
  <conditionalFormatting sqref="A4">
    <cfRule type="duplicateValues" dxfId="546" priority="41"/>
  </conditionalFormatting>
  <conditionalFormatting sqref="A5:A15">
    <cfRule type="duplicateValues" dxfId="545" priority="169"/>
  </conditionalFormatting>
  <conditionalFormatting sqref="A16">
    <cfRule type="duplicateValues" dxfId="544" priority="40"/>
  </conditionalFormatting>
  <conditionalFormatting sqref="A17:A20">
    <cfRule type="duplicateValues" dxfId="543" priority="43"/>
  </conditionalFormatting>
  <dataValidations count="1">
    <dataValidation type="list" allowBlank="1" showInputMessage="1" showErrorMessage="1" sqref="GJ18:GK18" xr:uid="{00000000-0002-0000-0500-000000000000}">
      <formula1>#REF!</formula1>
    </dataValidation>
  </dataValidations>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4099"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4099"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21" stopIfTrue="1" operator="equal" id="{5B75B275-E7C6-42AA-BEFB-8F7C8AAF2F62}">
            <xm:f>Critério!$B$10</xm:f>
            <x14:dxf>
              <fill>
                <patternFill>
                  <bgColor rgb="FF0070C0"/>
                </patternFill>
              </fill>
            </x14:dxf>
          </x14:cfRule>
          <x14:cfRule type="cellIs" priority="22" stopIfTrue="1" operator="equal" id="{A3ADDFD5-FD50-4967-94D5-B0BB6200AB53}">
            <xm:f>Critério!$B$9</xm:f>
            <x14:dxf>
              <fill>
                <patternFill>
                  <bgColor rgb="FF00FF00"/>
                </patternFill>
              </fill>
            </x14:dxf>
          </x14:cfRule>
          <x14:cfRule type="cellIs" priority="23" stopIfTrue="1" operator="equal" id="{7EFB1A65-B9AE-44C9-B90B-BB7A7D8B2575}">
            <xm:f>Critério!$B$8</xm:f>
            <x14:dxf>
              <fill>
                <patternFill>
                  <bgColor rgb="FFFFFF00"/>
                </patternFill>
              </fill>
            </x14:dxf>
          </x14:cfRule>
          <x14:cfRule type="cellIs" priority="24" stopIfTrue="1" operator="equal" id="{77943C6E-503D-44C6-B23C-27283B705B92}">
            <xm:f>Critério!$B$7</xm:f>
            <x14:dxf>
              <fill>
                <patternFill>
                  <bgColor rgb="FFFF0000"/>
                </patternFill>
              </fill>
            </x14:dxf>
          </x14:cfRule>
          <x14:cfRule type="cellIs" priority="25" stopIfTrue="1" operator="equal" id="{15D7607E-4F64-4763-99B4-7292C4D0BD4D}">
            <xm:f>Critério!$B$6</xm:f>
            <x14:dxf>
              <fill>
                <patternFill>
                  <bgColor rgb="FFC00000"/>
                </patternFill>
              </fill>
            </x14:dxf>
          </x14:cfRule>
          <x14:cfRule type="cellIs" priority="26" stopIfTrue="1" operator="equal" id="{56127489-5174-477C-B31E-FFC095B45F29}">
            <xm:f>Critério!$B$5</xm:f>
            <x14:dxf>
              <fill>
                <patternFill>
                  <bgColor rgb="FFFFC000"/>
                </patternFill>
              </fill>
            </x14:dxf>
          </x14:cfRule>
          <xm:sqref>D5:D15</xm:sqref>
        </x14:conditionalFormatting>
        <x14:conditionalFormatting xmlns:xm="http://schemas.microsoft.com/office/excel/2006/main">
          <x14:cfRule type="cellIs" priority="8" stopIfTrue="1" operator="equal" id="{801323F6-4AA2-4BA8-B9D5-1A53AC8A9D01}">
            <xm:f>Critério!$B$10</xm:f>
            <x14:dxf>
              <fill>
                <patternFill>
                  <bgColor rgb="FF0070C0"/>
                </patternFill>
              </fill>
            </x14:dxf>
          </x14:cfRule>
          <x14:cfRule type="cellIs" priority="9" stopIfTrue="1" operator="equal" id="{EDA064DA-2254-4216-AE90-2F5DA68001C1}">
            <xm:f>Critério!$B$9</xm:f>
            <x14:dxf>
              <fill>
                <patternFill>
                  <bgColor rgb="FF00FF00"/>
                </patternFill>
              </fill>
            </x14:dxf>
          </x14:cfRule>
          <x14:cfRule type="cellIs" priority="10" stopIfTrue="1" operator="equal" id="{481C4CC3-378D-4AEE-A76F-0A40FBD680F8}">
            <xm:f>Critério!$B$8</xm:f>
            <x14:dxf>
              <fill>
                <patternFill>
                  <bgColor rgb="FFFFFF00"/>
                </patternFill>
              </fill>
            </x14:dxf>
          </x14:cfRule>
          <x14:cfRule type="cellIs" priority="11" stopIfTrue="1" operator="equal" id="{ABBAB076-F0A4-4EA7-B9F2-C01614EBF60F}">
            <xm:f>Critério!$B$7</xm:f>
            <x14:dxf>
              <fill>
                <patternFill>
                  <bgColor rgb="FFFF0000"/>
                </patternFill>
              </fill>
            </x14:dxf>
          </x14:cfRule>
          <x14:cfRule type="cellIs" priority="12" stopIfTrue="1" operator="equal" id="{EC0CC8F9-EF35-4C5E-9853-842A0ED0147E}">
            <xm:f>Critério!$B$6</xm:f>
            <x14:dxf>
              <fill>
                <patternFill>
                  <bgColor rgb="FFC00000"/>
                </patternFill>
              </fill>
            </x14:dxf>
          </x14:cfRule>
          <x14:cfRule type="cellIs" priority="13" stopIfTrue="1" operator="equal" id="{FF23A678-56A2-4613-AC3A-B1D6382313ED}">
            <xm:f>Critério!$B$5</xm:f>
            <x14:dxf>
              <fill>
                <patternFill>
                  <bgColor rgb="FFFFC000"/>
                </patternFill>
              </fill>
            </x14:dxf>
          </x14:cfRule>
          <xm:sqref>D17:D20</xm:sqref>
        </x14:conditionalFormatting>
        <x14:conditionalFormatting xmlns:xm="http://schemas.microsoft.com/office/excel/2006/main">
          <x14:cfRule type="cellIs" priority="14" operator="equal" id="{3381A1F7-8D31-4B00-8A98-BA54AB456503}">
            <xm:f>Critério!$B$14</xm:f>
            <x14:dxf>
              <fill>
                <patternFill>
                  <bgColor rgb="FFFFC000"/>
                </patternFill>
              </fill>
            </x14:dxf>
          </x14:cfRule>
          <x14:cfRule type="cellIs" priority="15" operator="equal" id="{F50B3A02-FCF5-4D38-9227-1E22F01D6E48}">
            <xm:f>Critério!$B$15</xm:f>
            <x14:dxf>
              <fill>
                <patternFill>
                  <bgColor rgb="FFC00000"/>
                </patternFill>
              </fill>
            </x14:dxf>
          </x14:cfRule>
          <x14:cfRule type="cellIs" priority="16" operator="equal" id="{1EB2F22D-2FFB-4518-87F8-413B26F31020}">
            <xm:f>Critério!$B$16</xm:f>
            <x14:dxf>
              <fill>
                <patternFill>
                  <bgColor rgb="FFFF0000"/>
                </patternFill>
              </fill>
            </x14:dxf>
          </x14:cfRule>
          <x14:cfRule type="cellIs" priority="17" operator="equal" id="{F55F2A89-610F-4A0C-8B38-560AE24BE8AC}">
            <xm:f>Critério!$B$17</xm:f>
            <x14:dxf>
              <fill>
                <patternFill>
                  <bgColor theme="9" tint="-0.24994659260841701"/>
                </patternFill>
              </fill>
            </x14:dxf>
          </x14:cfRule>
          <x14:cfRule type="cellIs" priority="18" operator="equal" id="{AE5A5C42-405F-4949-AF78-41BD71CF3D1E}">
            <xm:f>Critério!$B$18</xm:f>
            <x14:dxf>
              <fill>
                <patternFill>
                  <bgColor rgb="FFFFFF00"/>
                </patternFill>
              </fill>
            </x14:dxf>
          </x14:cfRule>
          <x14:cfRule type="cellIs" priority="19" operator="equal" id="{E20F18AA-C0FE-4FE8-AEB9-AC7E29EF3BD0}">
            <xm:f>Critério!$B$19</xm:f>
            <x14:dxf>
              <fill>
                <patternFill>
                  <bgColor rgb="FF00FF00"/>
                </patternFill>
              </fill>
            </x14:dxf>
          </x14:cfRule>
          <x14:cfRule type="cellIs" priority="20" operator="equal" id="{807D4697-ACB5-4840-9FF1-F01B17410273}">
            <xm:f>Critério!$B$20</xm:f>
            <x14:dxf>
              <fill>
                <patternFill>
                  <bgColor rgb="FF0070C0"/>
                </patternFill>
              </fill>
            </x14:dxf>
          </x14:cfRule>
          <xm:sqref>E5:E15</xm:sqref>
        </x14:conditionalFormatting>
        <x14:conditionalFormatting xmlns:xm="http://schemas.microsoft.com/office/excel/2006/main">
          <x14:cfRule type="cellIs" priority="1" operator="equal" id="{91B35C48-48EA-41F6-A784-7D0EC6C14327}">
            <xm:f>Critério!$B$14</xm:f>
            <x14:dxf>
              <fill>
                <patternFill>
                  <bgColor rgb="FFFFC000"/>
                </patternFill>
              </fill>
            </x14:dxf>
          </x14:cfRule>
          <x14:cfRule type="cellIs" priority="2" operator="equal" id="{EB5529D1-174D-4744-A88B-2864D73026C9}">
            <xm:f>Critério!$B$15</xm:f>
            <x14:dxf>
              <fill>
                <patternFill>
                  <bgColor rgb="FFC00000"/>
                </patternFill>
              </fill>
            </x14:dxf>
          </x14:cfRule>
          <x14:cfRule type="cellIs" priority="3" operator="equal" id="{FAFB8A0A-68F8-4741-A8A7-705012AA6BEA}">
            <xm:f>Critério!$B$16</xm:f>
            <x14:dxf>
              <fill>
                <patternFill>
                  <bgColor rgb="FFFF0000"/>
                </patternFill>
              </fill>
            </x14:dxf>
          </x14:cfRule>
          <x14:cfRule type="cellIs" priority="4" operator="equal" id="{6014F80D-050C-4062-8389-04A7EF8AA203}">
            <xm:f>Critério!$B$17</xm:f>
            <x14:dxf>
              <fill>
                <patternFill>
                  <bgColor theme="9" tint="-0.24994659260841701"/>
                </patternFill>
              </fill>
            </x14:dxf>
          </x14:cfRule>
          <x14:cfRule type="cellIs" priority="5" operator="equal" id="{BFF88D7B-46F9-4E6A-974A-C8764079250F}">
            <xm:f>Critério!$B$18</xm:f>
            <x14:dxf>
              <fill>
                <patternFill>
                  <bgColor rgb="FFFFFF00"/>
                </patternFill>
              </fill>
            </x14:dxf>
          </x14:cfRule>
          <x14:cfRule type="cellIs" priority="6" operator="equal" id="{B76AA4BD-D0F6-4581-A3A8-25498161AE8F}">
            <xm:f>Critério!$B$19</xm:f>
            <x14:dxf>
              <fill>
                <patternFill>
                  <bgColor rgb="FF00FF00"/>
                </patternFill>
              </fill>
            </x14:dxf>
          </x14:cfRule>
          <x14:cfRule type="cellIs" priority="7" operator="equal" id="{312F9DA8-F374-494B-AED8-8D04EA4DCEE8}">
            <xm:f>Critério!$B$20</xm:f>
            <x14:dxf>
              <fill>
                <patternFill>
                  <bgColor rgb="FF0070C0"/>
                </patternFill>
              </fill>
            </x14:dxf>
          </x14:cfRule>
          <xm:sqref>E17:E20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B4C8DA5-3020-4C90-9411-C34F1890F4AC}">
          <x14:formula1>
            <xm:f>Critério!$B$5:$B$10</xm:f>
          </x14:formula1>
          <xm:sqref>D5:D15 D17:D20</xm:sqref>
        </x14:dataValidation>
        <x14:dataValidation type="list" allowBlank="1" showInputMessage="1" showErrorMessage="1" xr:uid="{DEE6394B-DC3F-49BA-BA93-D568CBAE407E}">
          <x14:formula1>
            <xm:f>Critério!$B$14:$B$20</xm:f>
          </x14:formula1>
          <xm:sqref>E5:E15 E17:E20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51"/>
  <sheetViews>
    <sheetView showGridLines="0" zoomScaleNormal="100" zoomScaleSheetLayoutView="50" workbookViewId="0">
      <selection activeCell="H3" sqref="H1:J1048576"/>
    </sheetView>
  </sheetViews>
  <sheetFormatPr defaultColWidth="15.664062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238</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107" t="e">
        <f>IF(#REF!=Critério!$B$5,Critério!$B$5,SUM(IF(D4=Critério!$B$5,100%,D4)*SUM(#REF!),IF(D12=Critério!$B$5,100%,D12)*SUM(#REF!),IF(D16=Critério!$B$5,100%,D16)*SUM(#REF!),IF(D18=Critério!$B$5,100%,D18)*SUM(#REF!),IF(D23=Critério!$B$5,100%,D23)*SUM(#REF!),IF(D28=Critério!$B$5,100%,D28)*SUM(#REF!),IF(D32=Critério!$B$5,100%,D32)*SUM(#REF!),IF(D40=Critério!$B$5,100%,D40)*SUM(#REF!),IF(D45=Critério!$B$5,100%,D45)*SUM(#REF!),IF(D47=Critério!$B$5,100%,D47)*SUM(#REF!)))/#REF!</f>
        <v>#REF!</v>
      </c>
      <c r="E3" s="60" t="s">
        <v>52</v>
      </c>
      <c r="F3" s="62" t="s">
        <v>53</v>
      </c>
    </row>
    <row r="4" spans="1:6" x14ac:dyDescent="0.3">
      <c r="A4" s="87" t="s">
        <v>239</v>
      </c>
      <c r="B4" s="83"/>
      <c r="C4" s="83"/>
      <c r="D4" s="55" t="e">
        <f>IF(#REF!=COUNTA(A5:A11),Critério!$B$5,SUMPRODUCT(#REF!,#REF!)/SUM(#REF!))</f>
        <v>#REF!</v>
      </c>
      <c r="E4" s="83"/>
      <c r="F4" s="88"/>
    </row>
    <row r="5" spans="1:6" ht="63.6" customHeight="1" x14ac:dyDescent="0.3">
      <c r="A5" s="91" t="s">
        <v>240</v>
      </c>
      <c r="B5" s="84" t="s">
        <v>241</v>
      </c>
      <c r="C5" s="84" t="s">
        <v>242</v>
      </c>
      <c r="D5" s="57">
        <v>3</v>
      </c>
      <c r="E5" s="58" t="s">
        <v>31</v>
      </c>
      <c r="F5" s="113"/>
    </row>
    <row r="6" spans="1:6" ht="139.5" customHeight="1" x14ac:dyDescent="0.3">
      <c r="A6" s="91" t="s">
        <v>243</v>
      </c>
      <c r="B6" s="84" t="s">
        <v>244</v>
      </c>
      <c r="C6" s="84" t="s">
        <v>245</v>
      </c>
      <c r="D6" s="57">
        <v>3</v>
      </c>
      <c r="E6" s="58" t="s">
        <v>31</v>
      </c>
      <c r="F6" s="113"/>
    </row>
    <row r="7" spans="1:6" ht="170.25" customHeight="1" x14ac:dyDescent="0.3">
      <c r="A7" s="91" t="s">
        <v>246</v>
      </c>
      <c r="B7" s="84" t="s">
        <v>247</v>
      </c>
      <c r="C7" s="84" t="s">
        <v>248</v>
      </c>
      <c r="D7" s="57">
        <v>3</v>
      </c>
      <c r="E7" s="58" t="s">
        <v>31</v>
      </c>
      <c r="F7" s="143"/>
    </row>
    <row r="8" spans="1:6" ht="122.4" customHeight="1" x14ac:dyDescent="0.3">
      <c r="A8" s="91" t="s">
        <v>249</v>
      </c>
      <c r="B8" s="84" t="s">
        <v>250</v>
      </c>
      <c r="C8" s="84" t="s">
        <v>251</v>
      </c>
      <c r="D8" s="57">
        <v>3</v>
      </c>
      <c r="E8" s="58" t="s">
        <v>31</v>
      </c>
      <c r="F8" s="90"/>
    </row>
    <row r="9" spans="1:6" ht="48.75" customHeight="1" x14ac:dyDescent="0.3">
      <c r="A9" s="91" t="s">
        <v>252</v>
      </c>
      <c r="B9" s="85" t="s">
        <v>253</v>
      </c>
      <c r="C9" s="84" t="s">
        <v>254</v>
      </c>
      <c r="D9" s="57">
        <v>3</v>
      </c>
      <c r="E9" s="58" t="s">
        <v>31</v>
      </c>
      <c r="F9" s="90"/>
    </row>
    <row r="10" spans="1:6" ht="85.5" customHeight="1" x14ac:dyDescent="0.3">
      <c r="A10" s="91" t="s">
        <v>255</v>
      </c>
      <c r="B10" s="84" t="s">
        <v>256</v>
      </c>
      <c r="C10" s="84" t="s">
        <v>257</v>
      </c>
      <c r="D10" s="57">
        <v>3</v>
      </c>
      <c r="E10" s="58" t="s">
        <v>31</v>
      </c>
      <c r="F10" s="90"/>
    </row>
    <row r="11" spans="1:6" ht="244.8" x14ac:dyDescent="0.3">
      <c r="A11" s="91" t="s">
        <v>258</v>
      </c>
      <c r="B11" s="84" t="s">
        <v>259</v>
      </c>
      <c r="C11" s="84" t="s">
        <v>260</v>
      </c>
      <c r="D11" s="57">
        <v>3</v>
      </c>
      <c r="E11" s="58" t="s">
        <v>31</v>
      </c>
      <c r="F11" s="90"/>
    </row>
    <row r="12" spans="1:6" s="1" customFormat="1" ht="14.4" customHeight="1" x14ac:dyDescent="0.3">
      <c r="A12" s="87" t="s">
        <v>261</v>
      </c>
      <c r="B12" s="83"/>
      <c r="C12" s="83"/>
      <c r="D12" s="55" t="e">
        <f>IF(#REF!=COUNTA(A13:A14),Critério!$B$5,SUMPRODUCT(#REF!,#REF!)/SUM(#REF!))</f>
        <v>#REF!</v>
      </c>
      <c r="E12" s="83"/>
      <c r="F12" s="88"/>
    </row>
    <row r="13" spans="1:6" ht="45.75" customHeight="1" x14ac:dyDescent="0.3">
      <c r="A13" s="89" t="s">
        <v>262</v>
      </c>
      <c r="B13" s="84" t="s">
        <v>263</v>
      </c>
      <c r="C13" s="84" t="s">
        <v>264</v>
      </c>
      <c r="D13" s="57">
        <v>3</v>
      </c>
      <c r="E13" s="58" t="s">
        <v>31</v>
      </c>
      <c r="F13" s="144"/>
    </row>
    <row r="14" spans="1:6" ht="55.5" customHeight="1" x14ac:dyDescent="0.3">
      <c r="A14" s="89" t="s">
        <v>265</v>
      </c>
      <c r="B14" s="84" t="s">
        <v>266</v>
      </c>
      <c r="C14" s="84" t="s">
        <v>267</v>
      </c>
      <c r="D14" s="57">
        <v>3</v>
      </c>
      <c r="E14" s="58" t="s">
        <v>31</v>
      </c>
      <c r="F14" s="144"/>
    </row>
    <row r="15" spans="1:6" ht="14.4" customHeight="1" x14ac:dyDescent="0.3">
      <c r="A15" s="250" t="s">
        <v>268</v>
      </c>
      <c r="B15" s="251"/>
      <c r="C15" s="251"/>
      <c r="D15" s="251"/>
      <c r="E15" s="251"/>
      <c r="F15" s="252"/>
    </row>
    <row r="16" spans="1:6" x14ac:dyDescent="0.3">
      <c r="A16" s="87" t="s">
        <v>269</v>
      </c>
      <c r="B16" s="142"/>
      <c r="C16" s="83"/>
      <c r="D16" s="55" t="e">
        <f>IF(#REF!=COUNTA(A17),Critério!$B$5,SUMPRODUCT(#REF!,#REF!)/SUM(#REF!))</f>
        <v>#REF!</v>
      </c>
      <c r="E16" s="83"/>
      <c r="F16" s="145"/>
    </row>
    <row r="17" spans="1:6" ht="97.5" customHeight="1" x14ac:dyDescent="0.3">
      <c r="A17" s="91" t="s">
        <v>270</v>
      </c>
      <c r="B17" s="128" t="s">
        <v>271</v>
      </c>
      <c r="C17" s="128" t="s">
        <v>272</v>
      </c>
      <c r="D17" s="57">
        <v>3</v>
      </c>
      <c r="E17" s="58" t="s">
        <v>31</v>
      </c>
      <c r="F17" s="131"/>
    </row>
    <row r="18" spans="1:6" s="1" customFormat="1" ht="14.4" customHeight="1" x14ac:dyDescent="0.3">
      <c r="A18" s="87" t="s">
        <v>273</v>
      </c>
      <c r="B18" s="83"/>
      <c r="C18" s="83"/>
      <c r="D18" s="55" t="e">
        <f>IF(#REF!=COUNTA(A19:A22),Critério!$B$5,SUMPRODUCT(#REF!,#REF!)/SUM(#REF!))</f>
        <v>#REF!</v>
      </c>
      <c r="E18" s="83"/>
      <c r="F18" s="88"/>
    </row>
    <row r="19" spans="1:6" ht="173.4" x14ac:dyDescent="0.3">
      <c r="A19" s="91" t="s">
        <v>274</v>
      </c>
      <c r="B19" s="84" t="s">
        <v>275</v>
      </c>
      <c r="C19" s="128" t="s">
        <v>276</v>
      </c>
      <c r="D19" s="57">
        <v>3</v>
      </c>
      <c r="E19" s="58" t="s">
        <v>31</v>
      </c>
      <c r="F19" s="131"/>
    </row>
    <row r="20" spans="1:6" ht="77.25" customHeight="1" x14ac:dyDescent="0.3">
      <c r="A20" s="91" t="s">
        <v>277</v>
      </c>
      <c r="B20" s="84" t="s">
        <v>278</v>
      </c>
      <c r="C20" s="128" t="s">
        <v>279</v>
      </c>
      <c r="D20" s="57">
        <v>3</v>
      </c>
      <c r="E20" s="58" t="s">
        <v>31</v>
      </c>
      <c r="F20" s="113"/>
    </row>
    <row r="21" spans="1:6" ht="99.75" customHeight="1" x14ac:dyDescent="0.3">
      <c r="A21" s="91" t="s">
        <v>280</v>
      </c>
      <c r="B21" s="84" t="s">
        <v>281</v>
      </c>
      <c r="C21" s="128" t="s">
        <v>282</v>
      </c>
      <c r="D21" s="57">
        <v>3</v>
      </c>
      <c r="E21" s="58" t="s">
        <v>31</v>
      </c>
      <c r="F21" s="113"/>
    </row>
    <row r="22" spans="1:6" ht="142.80000000000001" x14ac:dyDescent="0.3">
      <c r="A22" s="91" t="s">
        <v>283</v>
      </c>
      <c r="B22" s="84" t="s">
        <v>284</v>
      </c>
      <c r="C22" s="84" t="s">
        <v>285</v>
      </c>
      <c r="D22" s="57">
        <v>3</v>
      </c>
      <c r="E22" s="58" t="s">
        <v>31</v>
      </c>
      <c r="F22" s="90"/>
    </row>
    <row r="23" spans="1:6" ht="14.4" customHeight="1" x14ac:dyDescent="0.3">
      <c r="A23" s="87" t="s">
        <v>286</v>
      </c>
      <c r="B23" s="83"/>
      <c r="C23" s="83"/>
      <c r="D23" s="55" t="e">
        <f>IF(#REF!=COUNTA(A24:A27),Critério!$B$5,SUMPRODUCT(#REF!,#REF!)/SUM(#REF!))</f>
        <v>#REF!</v>
      </c>
      <c r="E23" s="83"/>
      <c r="F23" s="88"/>
    </row>
    <row r="24" spans="1:6" ht="153" customHeight="1" x14ac:dyDescent="0.3">
      <c r="A24" s="91" t="s">
        <v>287</v>
      </c>
      <c r="B24" s="84" t="s">
        <v>288</v>
      </c>
      <c r="C24" s="84" t="s">
        <v>289</v>
      </c>
      <c r="D24" s="57">
        <v>3</v>
      </c>
      <c r="E24" s="58" t="s">
        <v>31</v>
      </c>
      <c r="F24" s="113"/>
    </row>
    <row r="25" spans="1:6" ht="208.5" customHeight="1" x14ac:dyDescent="0.3">
      <c r="A25" s="91" t="s">
        <v>290</v>
      </c>
      <c r="B25" s="84" t="s">
        <v>291</v>
      </c>
      <c r="C25" s="84" t="s">
        <v>267</v>
      </c>
      <c r="D25" s="57">
        <v>3</v>
      </c>
      <c r="E25" s="58" t="s">
        <v>31</v>
      </c>
      <c r="F25" s="113"/>
    </row>
    <row r="26" spans="1:6" ht="145.5" customHeight="1" x14ac:dyDescent="0.3">
      <c r="A26" s="91" t="s">
        <v>292</v>
      </c>
      <c r="B26" s="84" t="s">
        <v>293</v>
      </c>
      <c r="C26" s="84" t="s">
        <v>289</v>
      </c>
      <c r="D26" s="57">
        <v>3</v>
      </c>
      <c r="E26" s="58" t="s">
        <v>31</v>
      </c>
      <c r="F26" s="113"/>
    </row>
    <row r="27" spans="1:6" ht="153.75" customHeight="1" x14ac:dyDescent="0.3">
      <c r="A27" s="91" t="s">
        <v>294</v>
      </c>
      <c r="B27" s="84" t="s">
        <v>295</v>
      </c>
      <c r="C27" s="84" t="s">
        <v>289</v>
      </c>
      <c r="D27" s="57">
        <v>3</v>
      </c>
      <c r="E27" s="58" t="s">
        <v>31</v>
      </c>
      <c r="F27" s="113"/>
    </row>
    <row r="28" spans="1:6" ht="14.4" customHeight="1" x14ac:dyDescent="0.3">
      <c r="A28" s="87" t="s">
        <v>296</v>
      </c>
      <c r="B28" s="83"/>
      <c r="C28" s="83"/>
      <c r="D28" s="55" t="e">
        <f>IF(#REF!=COUNTA(A29:A31),Critério!$B$5,SUMPRODUCT(#REF!,#REF!)/SUM(#REF!))</f>
        <v>#REF!</v>
      </c>
      <c r="E28" s="83"/>
      <c r="F28" s="88"/>
    </row>
    <row r="29" spans="1:6" ht="56.25" customHeight="1" x14ac:dyDescent="0.3">
      <c r="A29" s="91" t="s">
        <v>297</v>
      </c>
      <c r="B29" s="84" t="s">
        <v>298</v>
      </c>
      <c r="C29" s="84" t="s">
        <v>299</v>
      </c>
      <c r="D29" s="57">
        <v>3</v>
      </c>
      <c r="E29" s="58" t="s">
        <v>31</v>
      </c>
      <c r="F29" s="113"/>
    </row>
    <row r="30" spans="1:6" ht="37.5" customHeight="1" x14ac:dyDescent="0.3">
      <c r="A30" s="89" t="s">
        <v>300</v>
      </c>
      <c r="B30" s="84" t="s">
        <v>301</v>
      </c>
      <c r="C30" s="84" t="s">
        <v>267</v>
      </c>
      <c r="D30" s="57">
        <v>3</v>
      </c>
      <c r="E30" s="58" t="s">
        <v>31</v>
      </c>
      <c r="F30" s="113"/>
    </row>
    <row r="31" spans="1:6" ht="39.75" customHeight="1" x14ac:dyDescent="0.3">
      <c r="A31" s="91" t="s">
        <v>302</v>
      </c>
      <c r="B31" s="128" t="s">
        <v>303</v>
      </c>
      <c r="C31" s="128" t="s">
        <v>304</v>
      </c>
      <c r="D31" s="57">
        <v>3</v>
      </c>
      <c r="E31" s="58" t="s">
        <v>31</v>
      </c>
      <c r="F31" s="113"/>
    </row>
    <row r="32" spans="1:6" x14ac:dyDescent="0.3">
      <c r="A32" s="87" t="s">
        <v>305</v>
      </c>
      <c r="B32" s="83"/>
      <c r="C32" s="83"/>
      <c r="D32" s="55" t="e">
        <f>IF(#REF!=COUNTA(A33:A39),Critério!$B$5,SUMPRODUCT(#REF!,#REF!)/SUM(#REF!))</f>
        <v>#REF!</v>
      </c>
      <c r="E32" s="83"/>
      <c r="F32" s="88"/>
    </row>
    <row r="33" spans="1:6" ht="70.5" customHeight="1" x14ac:dyDescent="0.3">
      <c r="A33" s="91" t="s">
        <v>306</v>
      </c>
      <c r="B33" s="128" t="s">
        <v>307</v>
      </c>
      <c r="C33" s="128" t="s">
        <v>308</v>
      </c>
      <c r="D33" s="57">
        <v>3</v>
      </c>
      <c r="E33" s="58" t="s">
        <v>31</v>
      </c>
      <c r="F33" s="131"/>
    </row>
    <row r="34" spans="1:6" ht="45" customHeight="1" x14ac:dyDescent="0.3">
      <c r="A34" s="91" t="s">
        <v>309</v>
      </c>
      <c r="B34" s="128" t="s">
        <v>310</v>
      </c>
      <c r="C34" s="128" t="s">
        <v>311</v>
      </c>
      <c r="D34" s="57">
        <v>3</v>
      </c>
      <c r="E34" s="58" t="s">
        <v>31</v>
      </c>
      <c r="F34" s="113"/>
    </row>
    <row r="35" spans="1:6" ht="42.75" customHeight="1" x14ac:dyDescent="0.3">
      <c r="A35" s="91" t="s">
        <v>312</v>
      </c>
      <c r="B35" s="128" t="s">
        <v>313</v>
      </c>
      <c r="C35" s="128" t="s">
        <v>314</v>
      </c>
      <c r="D35" s="57">
        <v>3</v>
      </c>
      <c r="E35" s="58" t="s">
        <v>31</v>
      </c>
      <c r="F35" s="113"/>
    </row>
    <row r="36" spans="1:6" ht="40.5" customHeight="1" x14ac:dyDescent="0.3">
      <c r="A36" s="91" t="s">
        <v>315</v>
      </c>
      <c r="B36" s="128" t="s">
        <v>316</v>
      </c>
      <c r="C36" s="128" t="s">
        <v>317</v>
      </c>
      <c r="D36" s="57">
        <v>3</v>
      </c>
      <c r="E36" s="58" t="s">
        <v>31</v>
      </c>
      <c r="F36" s="130"/>
    </row>
    <row r="37" spans="1:6" ht="87.9" customHeight="1" x14ac:dyDescent="0.3">
      <c r="A37" s="91" t="s">
        <v>318</v>
      </c>
      <c r="B37" s="128" t="s">
        <v>319</v>
      </c>
      <c r="C37" s="128" t="s">
        <v>311</v>
      </c>
      <c r="D37" s="57">
        <v>3</v>
      </c>
      <c r="E37" s="58" t="s">
        <v>31</v>
      </c>
      <c r="F37" s="131"/>
    </row>
    <row r="38" spans="1:6" ht="97.5" customHeight="1" x14ac:dyDescent="0.3">
      <c r="A38" s="91" t="s">
        <v>320</v>
      </c>
      <c r="B38" s="128" t="s">
        <v>321</v>
      </c>
      <c r="C38" s="128" t="s">
        <v>311</v>
      </c>
      <c r="D38" s="57">
        <v>3</v>
      </c>
      <c r="E38" s="58" t="s">
        <v>31</v>
      </c>
      <c r="F38" s="131"/>
    </row>
    <row r="39" spans="1:6" ht="89.25" customHeight="1" x14ac:dyDescent="0.3">
      <c r="A39" s="91" t="s">
        <v>322</v>
      </c>
      <c r="B39" s="128" t="s">
        <v>323</v>
      </c>
      <c r="C39" s="128" t="s">
        <v>317</v>
      </c>
      <c r="D39" s="57">
        <v>3</v>
      </c>
      <c r="E39" s="58" t="s">
        <v>31</v>
      </c>
      <c r="F39" s="131"/>
    </row>
    <row r="40" spans="1:6" x14ac:dyDescent="0.3">
      <c r="A40" s="87" t="s">
        <v>324</v>
      </c>
      <c r="B40" s="83"/>
      <c r="C40" s="83"/>
      <c r="D40" s="55" t="e">
        <f>IF(#REF!=COUNTA(A41:A44),Critério!$B$5,SUMPRODUCT(#REF!,#REF!)/SUM(#REF!))</f>
        <v>#REF!</v>
      </c>
      <c r="E40" s="83"/>
      <c r="F40" s="88"/>
    </row>
    <row r="41" spans="1:6" ht="60" customHeight="1" x14ac:dyDescent="0.3">
      <c r="A41" s="91" t="s">
        <v>325</v>
      </c>
      <c r="B41" s="128" t="s">
        <v>326</v>
      </c>
      <c r="C41" s="128" t="s">
        <v>317</v>
      </c>
      <c r="D41" s="57">
        <v>3</v>
      </c>
      <c r="E41" s="58" t="s">
        <v>31</v>
      </c>
      <c r="F41" s="146"/>
    </row>
    <row r="42" spans="1:6" ht="60.75" customHeight="1" x14ac:dyDescent="0.3">
      <c r="A42" s="91" t="s">
        <v>327</v>
      </c>
      <c r="B42" s="128" t="s">
        <v>328</v>
      </c>
      <c r="C42" s="128" t="s">
        <v>329</v>
      </c>
      <c r="D42" s="57">
        <v>3</v>
      </c>
      <c r="E42" s="58" t="s">
        <v>31</v>
      </c>
      <c r="F42" s="131"/>
    </row>
    <row r="43" spans="1:6" ht="117.9" customHeight="1" x14ac:dyDescent="0.3">
      <c r="A43" s="91" t="s">
        <v>330</v>
      </c>
      <c r="B43" s="84" t="s">
        <v>331</v>
      </c>
      <c r="C43" s="128" t="s">
        <v>332</v>
      </c>
      <c r="D43" s="57">
        <v>3</v>
      </c>
      <c r="E43" s="58" t="s">
        <v>31</v>
      </c>
      <c r="F43" s="113"/>
    </row>
    <row r="44" spans="1:6" ht="112.5" customHeight="1" x14ac:dyDescent="0.3">
      <c r="A44" s="91" t="s">
        <v>333</v>
      </c>
      <c r="B44" s="84" t="s">
        <v>334</v>
      </c>
      <c r="C44" s="128" t="s">
        <v>335</v>
      </c>
      <c r="D44" s="57">
        <v>3</v>
      </c>
      <c r="E44" s="58" t="s">
        <v>31</v>
      </c>
      <c r="F44" s="131"/>
    </row>
    <row r="45" spans="1:6" ht="14.4" customHeight="1" x14ac:dyDescent="0.3">
      <c r="A45" s="87" t="s">
        <v>336</v>
      </c>
      <c r="B45" s="134"/>
      <c r="C45" s="134"/>
      <c r="D45" s="55" t="e">
        <f>IF(#REF!=COUNTA(A46),Critério!$B$5,SUMPRODUCT(#REF!,#REF!)/SUM(#REF!))</f>
        <v>#REF!</v>
      </c>
      <c r="E45" s="134"/>
      <c r="F45" s="147"/>
    </row>
    <row r="46" spans="1:6" ht="255" x14ac:dyDescent="0.3">
      <c r="A46" s="91" t="s">
        <v>337</v>
      </c>
      <c r="B46" s="128" t="s">
        <v>338</v>
      </c>
      <c r="C46" s="128" t="s">
        <v>339</v>
      </c>
      <c r="D46" s="57">
        <v>3</v>
      </c>
      <c r="E46" s="58" t="s">
        <v>31</v>
      </c>
      <c r="F46" s="148"/>
    </row>
    <row r="47" spans="1:6" ht="14.4" customHeight="1" x14ac:dyDescent="0.3">
      <c r="A47" s="149" t="s">
        <v>340</v>
      </c>
      <c r="B47" s="135"/>
      <c r="C47" s="135"/>
      <c r="D47" s="55" t="e">
        <f>IF(#REF!=COUNTA(A48:A51),Critério!$B$5,SUMPRODUCT(#REF!,#REF!)/SUM(#REF!))</f>
        <v>#REF!</v>
      </c>
      <c r="E47" s="135"/>
      <c r="F47" s="150"/>
    </row>
    <row r="48" spans="1:6" ht="95.1" customHeight="1" x14ac:dyDescent="0.3">
      <c r="A48" s="91" t="s">
        <v>341</v>
      </c>
      <c r="B48" s="128" t="s">
        <v>342</v>
      </c>
      <c r="C48" s="128" t="s">
        <v>343</v>
      </c>
      <c r="D48" s="57">
        <v>3</v>
      </c>
      <c r="E48" s="58" t="s">
        <v>31</v>
      </c>
      <c r="F48" s="113" t="s">
        <v>797</v>
      </c>
    </row>
    <row r="49" spans="1:6" ht="40.799999999999997" x14ac:dyDescent="0.3">
      <c r="A49" s="91" t="s">
        <v>344</v>
      </c>
      <c r="B49" s="128" t="s">
        <v>345</v>
      </c>
      <c r="C49" s="128" t="s">
        <v>346</v>
      </c>
      <c r="D49" s="57">
        <v>3</v>
      </c>
      <c r="E49" s="58" t="s">
        <v>31</v>
      </c>
      <c r="F49" s="175" t="s">
        <v>797</v>
      </c>
    </row>
    <row r="50" spans="1:6" ht="98.4" customHeight="1" x14ac:dyDescent="0.3">
      <c r="A50" s="91" t="s">
        <v>347</v>
      </c>
      <c r="B50" s="128" t="s">
        <v>348</v>
      </c>
      <c r="C50" s="128" t="s">
        <v>349</v>
      </c>
      <c r="D50" s="57">
        <v>3</v>
      </c>
      <c r="E50" s="58" t="s">
        <v>31</v>
      </c>
      <c r="F50" s="151"/>
    </row>
    <row r="51" spans="1:6" ht="45" customHeight="1" thickBot="1" x14ac:dyDescent="0.35">
      <c r="A51" s="116" t="s">
        <v>350</v>
      </c>
      <c r="B51" s="132" t="s">
        <v>351</v>
      </c>
      <c r="C51" s="132" t="s">
        <v>352</v>
      </c>
      <c r="D51" s="73">
        <v>3</v>
      </c>
      <c r="E51" s="74" t="s">
        <v>31</v>
      </c>
      <c r="F51" s="133"/>
    </row>
  </sheetData>
  <autoFilter ref="A3:F3" xr:uid="{00000000-0001-0000-0600-000000000000}"/>
  <mergeCells count="2">
    <mergeCell ref="A1:F2"/>
    <mergeCell ref="A15:F15"/>
  </mergeCells>
  <phoneticPr fontId="12" type="noConversion"/>
  <conditionalFormatting sqref="A3">
    <cfRule type="duplicateValues" dxfId="516" priority="177"/>
  </conditionalFormatting>
  <conditionalFormatting sqref="A4">
    <cfRule type="duplicateValues" dxfId="515" priority="173"/>
  </conditionalFormatting>
  <conditionalFormatting sqref="A5:A11">
    <cfRule type="duplicateValues" dxfId="514" priority="282"/>
  </conditionalFormatting>
  <conditionalFormatting sqref="A13">
    <cfRule type="duplicateValues" dxfId="513" priority="149"/>
  </conditionalFormatting>
  <conditionalFormatting sqref="A14">
    <cfRule type="duplicateValues" dxfId="512" priority="148"/>
  </conditionalFormatting>
  <conditionalFormatting sqref="A17">
    <cfRule type="duplicateValues" dxfId="511" priority="146"/>
  </conditionalFormatting>
  <conditionalFormatting sqref="A19:A22">
    <cfRule type="duplicateValues" dxfId="510" priority="278"/>
  </conditionalFormatting>
  <conditionalFormatting sqref="A24:A27">
    <cfRule type="duplicateValues" dxfId="509" priority="145"/>
  </conditionalFormatting>
  <conditionalFormatting sqref="A29:A31">
    <cfRule type="duplicateValues" dxfId="508" priority="160"/>
  </conditionalFormatting>
  <conditionalFormatting sqref="A33:A39">
    <cfRule type="duplicateValues" dxfId="507" priority="144"/>
  </conditionalFormatting>
  <conditionalFormatting sqref="A41:A44">
    <cfRule type="duplicateValues" dxfId="506" priority="158"/>
  </conditionalFormatting>
  <conditionalFormatting sqref="A45">
    <cfRule type="duplicateValues" dxfId="505" priority="172"/>
  </conditionalFormatting>
  <conditionalFormatting sqref="A46 A48:A51">
    <cfRule type="expression" dxfId="504" priority="295" stopIfTrue="1">
      <formula>AND(COUNTIF($A$46:$A$46, A46)+COUNTIF($A$48:$A$51, A46)&gt;1,NOT(ISBLANK(A46)))</formula>
    </cfRule>
  </conditionalFormatting>
  <conditionalFormatting sqref="A47">
    <cfRule type="duplicateValues" dxfId="503" priority="171"/>
  </conditionalFormatting>
  <conditionalFormatting sqref="C13:C14">
    <cfRule type="cellIs" dxfId="502" priority="150" stopIfTrue="1" operator="between">
      <formula>0</formula>
      <formula>1</formula>
    </cfRule>
    <cfRule type="cellIs" dxfId="501" priority="151" stopIfTrue="1" operator="equal">
      <formula>2</formula>
    </cfRule>
    <cfRule type="cellIs" dxfId="500" priority="152" stopIfTrue="1" operator="equal">
      <formula>3</formula>
    </cfRule>
    <cfRule type="cellIs" dxfId="499" priority="153" stopIfTrue="1" operator="between">
      <formula>0</formula>
      <formula>1</formula>
    </cfRule>
    <cfRule type="cellIs" dxfId="498" priority="154" stopIfTrue="1" operator="equal">
      <formula>2</formula>
    </cfRule>
    <cfRule type="cellIs" dxfId="497" priority="155" stopIfTrue="1" operator="equal">
      <formula>3</formula>
    </cfRule>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5123"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5123"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138" stopIfTrue="1" operator="equal" id="{BD10757A-B87B-4FAB-B1B2-78299C591958}">
            <xm:f>Critério!$B$10</xm:f>
            <x14:dxf>
              <fill>
                <patternFill>
                  <bgColor rgb="FF0070C0"/>
                </patternFill>
              </fill>
            </x14:dxf>
          </x14:cfRule>
          <x14:cfRule type="cellIs" priority="139" stopIfTrue="1" operator="equal" id="{976554BA-DA38-48D7-9942-C6BE3EF979FE}">
            <xm:f>Critério!$B$9</xm:f>
            <x14:dxf>
              <fill>
                <patternFill>
                  <bgColor rgb="FF00FF00"/>
                </patternFill>
              </fill>
            </x14:dxf>
          </x14:cfRule>
          <x14:cfRule type="cellIs" priority="140" stopIfTrue="1" operator="equal" id="{41B78253-D6A4-472D-B48F-F6E31C737BBF}">
            <xm:f>Critério!$B$8</xm:f>
            <x14:dxf>
              <fill>
                <patternFill>
                  <bgColor rgb="FFFFFF00"/>
                </patternFill>
              </fill>
            </x14:dxf>
          </x14:cfRule>
          <x14:cfRule type="cellIs" priority="141" stopIfTrue="1" operator="equal" id="{C37FB45D-B7FF-40B6-B971-56ABB8E079FD}">
            <xm:f>Critério!$B$7</xm:f>
            <x14:dxf>
              <fill>
                <patternFill>
                  <bgColor rgb="FFFF0000"/>
                </patternFill>
              </fill>
            </x14:dxf>
          </x14:cfRule>
          <x14:cfRule type="cellIs" priority="142" stopIfTrue="1" operator="equal" id="{F414864F-DFEB-461A-AC05-009F7B2CB6E0}">
            <xm:f>Critério!$B$6</xm:f>
            <x14:dxf>
              <fill>
                <patternFill>
                  <bgColor rgb="FFC00000"/>
                </patternFill>
              </fill>
            </x14:dxf>
          </x14:cfRule>
          <x14:cfRule type="cellIs" priority="143" stopIfTrue="1" operator="equal" id="{FF85E2BA-7B58-43A9-BADC-3E4DA487DDEE}">
            <xm:f>Critério!$B$5</xm:f>
            <x14:dxf>
              <fill>
                <patternFill>
                  <bgColor rgb="FFFFC000"/>
                </patternFill>
              </fill>
            </x14:dxf>
          </x14:cfRule>
          <xm:sqref>D5:D11</xm:sqref>
        </x14:conditionalFormatting>
        <x14:conditionalFormatting xmlns:xm="http://schemas.microsoft.com/office/excel/2006/main">
          <x14:cfRule type="cellIs" priority="8" stopIfTrue="1" operator="equal" id="{F73F82D8-856B-4AA5-A264-E63517C5958D}">
            <xm:f>Critério!$B$10</xm:f>
            <x14:dxf>
              <fill>
                <patternFill>
                  <bgColor rgb="FF0070C0"/>
                </patternFill>
              </fill>
            </x14:dxf>
          </x14:cfRule>
          <x14:cfRule type="cellIs" priority="9" stopIfTrue="1" operator="equal" id="{0524F815-112D-4FA6-A7DA-BE0B5F743727}">
            <xm:f>Critério!$B$9</xm:f>
            <x14:dxf>
              <fill>
                <patternFill>
                  <bgColor rgb="FF00FF00"/>
                </patternFill>
              </fill>
            </x14:dxf>
          </x14:cfRule>
          <x14:cfRule type="cellIs" priority="10" stopIfTrue="1" operator="equal" id="{4CEF3D03-9B3C-4D27-A90C-D446EE3F8660}">
            <xm:f>Critério!$B$8</xm:f>
            <x14:dxf>
              <fill>
                <patternFill>
                  <bgColor rgb="FFFFFF00"/>
                </patternFill>
              </fill>
            </x14:dxf>
          </x14:cfRule>
          <x14:cfRule type="cellIs" priority="11" stopIfTrue="1" operator="equal" id="{DC48F869-1444-438E-9A52-02E88C41DECC}">
            <xm:f>Critério!$B$7</xm:f>
            <x14:dxf>
              <fill>
                <patternFill>
                  <bgColor rgb="FFFF0000"/>
                </patternFill>
              </fill>
            </x14:dxf>
          </x14:cfRule>
          <x14:cfRule type="cellIs" priority="12" stopIfTrue="1" operator="equal" id="{EACE36E8-5563-4FE1-A5D8-9BB8CF11BB1B}">
            <xm:f>Critério!$B$6</xm:f>
            <x14:dxf>
              <fill>
                <patternFill>
                  <bgColor rgb="FFC00000"/>
                </patternFill>
              </fill>
            </x14:dxf>
          </x14:cfRule>
          <x14:cfRule type="cellIs" priority="13" stopIfTrue="1" operator="equal" id="{56355A48-AEEE-426C-A204-5B9BCF49B2A8}">
            <xm:f>Critério!$B$5</xm:f>
            <x14:dxf>
              <fill>
                <patternFill>
                  <bgColor rgb="FFFFC000"/>
                </patternFill>
              </fill>
            </x14:dxf>
          </x14:cfRule>
          <xm:sqref>D13:D14</xm:sqref>
        </x14:conditionalFormatting>
        <x14:conditionalFormatting xmlns:xm="http://schemas.microsoft.com/office/excel/2006/main">
          <x14:cfRule type="cellIs" priority="112" stopIfTrue="1" operator="equal" id="{1804B679-35DD-4029-9525-EB26F9EF6EC1}">
            <xm:f>Critério!$B$10</xm:f>
            <x14:dxf>
              <fill>
                <patternFill>
                  <bgColor rgb="FF0070C0"/>
                </patternFill>
              </fill>
            </x14:dxf>
          </x14:cfRule>
          <x14:cfRule type="cellIs" priority="113" stopIfTrue="1" operator="equal" id="{19B0C834-FA80-4CE5-829E-675F0D8382CA}">
            <xm:f>Critério!$B$9</xm:f>
            <x14:dxf>
              <fill>
                <patternFill>
                  <bgColor rgb="FF00FF00"/>
                </patternFill>
              </fill>
            </x14:dxf>
          </x14:cfRule>
          <x14:cfRule type="cellIs" priority="114" stopIfTrue="1" operator="equal" id="{0B22220B-ED41-4DF2-8D96-D9E326678D03}">
            <xm:f>Critério!$B$8</xm:f>
            <x14:dxf>
              <fill>
                <patternFill>
                  <bgColor rgb="FFFFFF00"/>
                </patternFill>
              </fill>
            </x14:dxf>
          </x14:cfRule>
          <x14:cfRule type="cellIs" priority="115" stopIfTrue="1" operator="equal" id="{45C1492B-D042-42A4-A087-D5E312A20F06}">
            <xm:f>Critério!$B$7</xm:f>
            <x14:dxf>
              <fill>
                <patternFill>
                  <bgColor rgb="FFFF0000"/>
                </patternFill>
              </fill>
            </x14:dxf>
          </x14:cfRule>
          <x14:cfRule type="cellIs" priority="116" stopIfTrue="1" operator="equal" id="{8D98A2A9-FA53-4C6A-9416-5B72BF17FF8B}">
            <xm:f>Critério!$B$6</xm:f>
            <x14:dxf>
              <fill>
                <patternFill>
                  <bgColor rgb="FFC00000"/>
                </patternFill>
              </fill>
            </x14:dxf>
          </x14:cfRule>
          <x14:cfRule type="cellIs" priority="117" stopIfTrue="1" operator="equal" id="{945E1547-14A8-4074-904F-E1D50DC2EA56}">
            <xm:f>Critério!$B$5</xm:f>
            <x14:dxf>
              <fill>
                <patternFill>
                  <bgColor rgb="FFFFC000"/>
                </patternFill>
              </fill>
            </x14:dxf>
          </x14:cfRule>
          <xm:sqref>D17</xm:sqref>
        </x14:conditionalFormatting>
        <x14:conditionalFormatting xmlns:xm="http://schemas.microsoft.com/office/excel/2006/main">
          <x14:cfRule type="cellIs" priority="99" stopIfTrue="1" operator="equal" id="{CD625CA6-DE76-46CB-90DF-D6F2BFAEFF83}">
            <xm:f>Critério!$B$10</xm:f>
            <x14:dxf>
              <fill>
                <patternFill>
                  <bgColor rgb="FF0070C0"/>
                </patternFill>
              </fill>
            </x14:dxf>
          </x14:cfRule>
          <x14:cfRule type="cellIs" priority="100" stopIfTrue="1" operator="equal" id="{A57D3069-5795-449D-B4EB-852E1DB42DB1}">
            <xm:f>Critério!$B$9</xm:f>
            <x14:dxf>
              <fill>
                <patternFill>
                  <bgColor rgb="FF00FF00"/>
                </patternFill>
              </fill>
            </x14:dxf>
          </x14:cfRule>
          <x14:cfRule type="cellIs" priority="101" stopIfTrue="1" operator="equal" id="{B66B4939-251A-43AC-8D8A-80B484D29DD4}">
            <xm:f>Critério!$B$8</xm:f>
            <x14:dxf>
              <fill>
                <patternFill>
                  <bgColor rgb="FFFFFF00"/>
                </patternFill>
              </fill>
            </x14:dxf>
          </x14:cfRule>
          <x14:cfRule type="cellIs" priority="102" stopIfTrue="1" operator="equal" id="{38631CEB-252E-4D73-90D7-A68A1FCE8077}">
            <xm:f>Critério!$B$7</xm:f>
            <x14:dxf>
              <fill>
                <patternFill>
                  <bgColor rgb="FFFF0000"/>
                </patternFill>
              </fill>
            </x14:dxf>
          </x14:cfRule>
          <x14:cfRule type="cellIs" priority="103" stopIfTrue="1" operator="equal" id="{FC24BEAC-4F45-472F-9B6C-9E9F625A0EE3}">
            <xm:f>Critério!$B$6</xm:f>
            <x14:dxf>
              <fill>
                <patternFill>
                  <bgColor rgb="FFC00000"/>
                </patternFill>
              </fill>
            </x14:dxf>
          </x14:cfRule>
          <x14:cfRule type="cellIs" priority="104" stopIfTrue="1" operator="equal" id="{979AC04D-F471-4D06-A53C-CB9C1E5AA8A1}">
            <xm:f>Critério!$B$5</xm:f>
            <x14:dxf>
              <fill>
                <patternFill>
                  <bgColor rgb="FFFFC000"/>
                </patternFill>
              </fill>
            </x14:dxf>
          </x14:cfRule>
          <xm:sqref>D19:D22</xm:sqref>
        </x14:conditionalFormatting>
        <x14:conditionalFormatting xmlns:xm="http://schemas.microsoft.com/office/excel/2006/main">
          <x14:cfRule type="cellIs" priority="86" stopIfTrue="1" operator="equal" id="{63B10C22-DD4C-4B3F-80CD-8EB050F30288}">
            <xm:f>Critério!$B$10</xm:f>
            <x14:dxf>
              <fill>
                <patternFill>
                  <bgColor rgb="FF0070C0"/>
                </patternFill>
              </fill>
            </x14:dxf>
          </x14:cfRule>
          <x14:cfRule type="cellIs" priority="87" stopIfTrue="1" operator="equal" id="{F239B07A-5F9C-4774-81D8-86D4011F43D7}">
            <xm:f>Critério!$B$9</xm:f>
            <x14:dxf>
              <fill>
                <patternFill>
                  <bgColor rgb="FF00FF00"/>
                </patternFill>
              </fill>
            </x14:dxf>
          </x14:cfRule>
          <x14:cfRule type="cellIs" priority="88" stopIfTrue="1" operator="equal" id="{03A81749-6C38-45D9-A292-C0BABCF13E7C}">
            <xm:f>Critério!$B$8</xm:f>
            <x14:dxf>
              <fill>
                <patternFill>
                  <bgColor rgb="FFFFFF00"/>
                </patternFill>
              </fill>
            </x14:dxf>
          </x14:cfRule>
          <x14:cfRule type="cellIs" priority="89" stopIfTrue="1" operator="equal" id="{4589D23D-53D0-406E-9A0D-48C18BF06D44}">
            <xm:f>Critério!$B$7</xm:f>
            <x14:dxf>
              <fill>
                <patternFill>
                  <bgColor rgb="FFFF0000"/>
                </patternFill>
              </fill>
            </x14:dxf>
          </x14:cfRule>
          <x14:cfRule type="cellIs" priority="90" stopIfTrue="1" operator="equal" id="{84A99FF1-6DF1-4FC9-8B9E-40186E37E044}">
            <xm:f>Critério!$B$6</xm:f>
            <x14:dxf>
              <fill>
                <patternFill>
                  <bgColor rgb="FFC00000"/>
                </patternFill>
              </fill>
            </x14:dxf>
          </x14:cfRule>
          <x14:cfRule type="cellIs" priority="91" stopIfTrue="1" operator="equal" id="{1A4BDADA-90A2-4FDE-B085-F66E9F78D575}">
            <xm:f>Critério!$B$5</xm:f>
            <x14:dxf>
              <fill>
                <patternFill>
                  <bgColor rgb="FFFFC000"/>
                </patternFill>
              </fill>
            </x14:dxf>
          </x14:cfRule>
          <xm:sqref>D24:D27</xm:sqref>
        </x14:conditionalFormatting>
        <x14:conditionalFormatting xmlns:xm="http://schemas.microsoft.com/office/excel/2006/main">
          <x14:cfRule type="cellIs" priority="73" stopIfTrue="1" operator="equal" id="{B836715A-205E-432D-8F16-680C5475D16D}">
            <xm:f>Critério!$B$10</xm:f>
            <x14:dxf>
              <fill>
                <patternFill>
                  <bgColor rgb="FF0070C0"/>
                </patternFill>
              </fill>
            </x14:dxf>
          </x14:cfRule>
          <x14:cfRule type="cellIs" priority="74" stopIfTrue="1" operator="equal" id="{16B50492-A1BC-4401-9482-DC83F6116190}">
            <xm:f>Critério!$B$9</xm:f>
            <x14:dxf>
              <fill>
                <patternFill>
                  <bgColor rgb="FF00FF00"/>
                </patternFill>
              </fill>
            </x14:dxf>
          </x14:cfRule>
          <x14:cfRule type="cellIs" priority="75" stopIfTrue="1" operator="equal" id="{75441C5A-7743-42E0-A192-CE456E324A3C}">
            <xm:f>Critério!$B$8</xm:f>
            <x14:dxf>
              <fill>
                <patternFill>
                  <bgColor rgb="FFFFFF00"/>
                </patternFill>
              </fill>
            </x14:dxf>
          </x14:cfRule>
          <x14:cfRule type="cellIs" priority="76" stopIfTrue="1" operator="equal" id="{4E649224-B3FE-49BE-9C71-B3333388ECF6}">
            <xm:f>Critério!$B$7</xm:f>
            <x14:dxf>
              <fill>
                <patternFill>
                  <bgColor rgb="FFFF0000"/>
                </patternFill>
              </fill>
            </x14:dxf>
          </x14:cfRule>
          <x14:cfRule type="cellIs" priority="77" stopIfTrue="1" operator="equal" id="{DE0D62D8-EA06-490A-AC6A-2F26FAFE2F29}">
            <xm:f>Critério!$B$6</xm:f>
            <x14:dxf>
              <fill>
                <patternFill>
                  <bgColor rgb="FFC00000"/>
                </patternFill>
              </fill>
            </x14:dxf>
          </x14:cfRule>
          <x14:cfRule type="cellIs" priority="78" stopIfTrue="1" operator="equal" id="{9EF31039-9A7C-4653-9602-2E0F246ECB6E}">
            <xm:f>Critério!$B$5</xm:f>
            <x14:dxf>
              <fill>
                <patternFill>
                  <bgColor rgb="FFFFC000"/>
                </patternFill>
              </fill>
            </x14:dxf>
          </x14:cfRule>
          <xm:sqref>D29:D31</xm:sqref>
        </x14:conditionalFormatting>
        <x14:conditionalFormatting xmlns:xm="http://schemas.microsoft.com/office/excel/2006/main">
          <x14:cfRule type="cellIs" priority="60" stopIfTrue="1" operator="equal" id="{7A013A26-7068-4759-ACE7-E8B8BA7A3651}">
            <xm:f>Critério!$B$10</xm:f>
            <x14:dxf>
              <fill>
                <patternFill>
                  <bgColor rgb="FF0070C0"/>
                </patternFill>
              </fill>
            </x14:dxf>
          </x14:cfRule>
          <x14:cfRule type="cellIs" priority="61" stopIfTrue="1" operator="equal" id="{415E626E-9D77-4718-B196-B5E753883229}">
            <xm:f>Critério!$B$9</xm:f>
            <x14:dxf>
              <fill>
                <patternFill>
                  <bgColor rgb="FF00FF00"/>
                </patternFill>
              </fill>
            </x14:dxf>
          </x14:cfRule>
          <x14:cfRule type="cellIs" priority="62" stopIfTrue="1" operator="equal" id="{1989EA9F-9BFB-47A4-9944-F8658FDBDEC0}">
            <xm:f>Critério!$B$8</xm:f>
            <x14:dxf>
              <fill>
                <patternFill>
                  <bgColor rgb="FFFFFF00"/>
                </patternFill>
              </fill>
            </x14:dxf>
          </x14:cfRule>
          <x14:cfRule type="cellIs" priority="63" stopIfTrue="1" operator="equal" id="{753AECD2-78B8-476B-AD5F-88808064FFE9}">
            <xm:f>Critério!$B$7</xm:f>
            <x14:dxf>
              <fill>
                <patternFill>
                  <bgColor rgb="FFFF0000"/>
                </patternFill>
              </fill>
            </x14:dxf>
          </x14:cfRule>
          <x14:cfRule type="cellIs" priority="64" stopIfTrue="1" operator="equal" id="{4B580F30-C1B0-46A2-A795-440BA59D1794}">
            <xm:f>Critério!$B$6</xm:f>
            <x14:dxf>
              <fill>
                <patternFill>
                  <bgColor rgb="FFC00000"/>
                </patternFill>
              </fill>
            </x14:dxf>
          </x14:cfRule>
          <x14:cfRule type="cellIs" priority="65" stopIfTrue="1" operator="equal" id="{53F49D78-7F4E-4464-82F9-00C8669E8BFC}">
            <xm:f>Critério!$B$5</xm:f>
            <x14:dxf>
              <fill>
                <patternFill>
                  <bgColor rgb="FFFFC000"/>
                </patternFill>
              </fill>
            </x14:dxf>
          </x14:cfRule>
          <xm:sqref>D33:D39</xm:sqref>
        </x14:conditionalFormatting>
        <x14:conditionalFormatting xmlns:xm="http://schemas.microsoft.com/office/excel/2006/main">
          <x14:cfRule type="cellIs" priority="47" stopIfTrue="1" operator="equal" id="{51507DE8-0C0E-45EE-9835-3D165B195EFD}">
            <xm:f>Critério!$B$10</xm:f>
            <x14:dxf>
              <fill>
                <patternFill>
                  <bgColor rgb="FF0070C0"/>
                </patternFill>
              </fill>
            </x14:dxf>
          </x14:cfRule>
          <x14:cfRule type="cellIs" priority="48" stopIfTrue="1" operator="equal" id="{54D493E6-48CA-4595-92C0-0866696427A9}">
            <xm:f>Critério!$B$9</xm:f>
            <x14:dxf>
              <fill>
                <patternFill>
                  <bgColor rgb="FF00FF00"/>
                </patternFill>
              </fill>
            </x14:dxf>
          </x14:cfRule>
          <x14:cfRule type="cellIs" priority="49" stopIfTrue="1" operator="equal" id="{32A27476-5797-49B8-B452-4051B401AB17}">
            <xm:f>Critério!$B$8</xm:f>
            <x14:dxf>
              <fill>
                <patternFill>
                  <bgColor rgb="FFFFFF00"/>
                </patternFill>
              </fill>
            </x14:dxf>
          </x14:cfRule>
          <x14:cfRule type="cellIs" priority="50" stopIfTrue="1" operator="equal" id="{0B8EF9A3-6555-4DDD-B940-77AA785C23AA}">
            <xm:f>Critério!$B$7</xm:f>
            <x14:dxf>
              <fill>
                <patternFill>
                  <bgColor rgb="FFFF0000"/>
                </patternFill>
              </fill>
            </x14:dxf>
          </x14:cfRule>
          <x14:cfRule type="cellIs" priority="51" stopIfTrue="1" operator="equal" id="{62CF0723-6A9F-4B87-B0B8-73DBEDD849B7}">
            <xm:f>Critério!$B$6</xm:f>
            <x14:dxf>
              <fill>
                <patternFill>
                  <bgColor rgb="FFC00000"/>
                </patternFill>
              </fill>
            </x14:dxf>
          </x14:cfRule>
          <x14:cfRule type="cellIs" priority="52" stopIfTrue="1" operator="equal" id="{0717C258-C64F-4BD9-9C3E-2B15B07087CC}">
            <xm:f>Critério!$B$5</xm:f>
            <x14:dxf>
              <fill>
                <patternFill>
                  <bgColor rgb="FFFFC000"/>
                </patternFill>
              </fill>
            </x14:dxf>
          </x14:cfRule>
          <xm:sqref>D41:D44</xm:sqref>
        </x14:conditionalFormatting>
        <x14:conditionalFormatting xmlns:xm="http://schemas.microsoft.com/office/excel/2006/main">
          <x14:cfRule type="cellIs" priority="34" stopIfTrue="1" operator="equal" id="{5A52CE0F-5F90-436C-AE60-91590593C001}">
            <xm:f>Critério!$B$10</xm:f>
            <x14:dxf>
              <fill>
                <patternFill>
                  <bgColor rgb="FF0070C0"/>
                </patternFill>
              </fill>
            </x14:dxf>
          </x14:cfRule>
          <x14:cfRule type="cellIs" priority="35" stopIfTrue="1" operator="equal" id="{48C83342-2671-4521-9B7D-30FDFCEB0449}">
            <xm:f>Critério!$B$9</xm:f>
            <x14:dxf>
              <fill>
                <patternFill>
                  <bgColor rgb="FF00FF00"/>
                </patternFill>
              </fill>
            </x14:dxf>
          </x14:cfRule>
          <x14:cfRule type="cellIs" priority="36" stopIfTrue="1" operator="equal" id="{0F1BBB46-4C0C-4F42-9C15-9DE3020AD45A}">
            <xm:f>Critério!$B$8</xm:f>
            <x14:dxf>
              <fill>
                <patternFill>
                  <bgColor rgb="FFFFFF00"/>
                </patternFill>
              </fill>
            </x14:dxf>
          </x14:cfRule>
          <x14:cfRule type="cellIs" priority="37" stopIfTrue="1" operator="equal" id="{FA925261-3CDC-488D-8B72-12E73C3EF28C}">
            <xm:f>Critério!$B$7</xm:f>
            <x14:dxf>
              <fill>
                <patternFill>
                  <bgColor rgb="FFFF0000"/>
                </patternFill>
              </fill>
            </x14:dxf>
          </x14:cfRule>
          <x14:cfRule type="cellIs" priority="38" stopIfTrue="1" operator="equal" id="{9EE36D82-1ED2-459D-9668-A38966397020}">
            <xm:f>Critério!$B$6</xm:f>
            <x14:dxf>
              <fill>
                <patternFill>
                  <bgColor rgb="FFC00000"/>
                </patternFill>
              </fill>
            </x14:dxf>
          </x14:cfRule>
          <x14:cfRule type="cellIs" priority="39" stopIfTrue="1" operator="equal" id="{C7F6B06E-EAB4-4B54-81F5-8F390C35BA28}">
            <xm:f>Critério!$B$5</xm:f>
            <x14:dxf>
              <fill>
                <patternFill>
                  <bgColor rgb="FFFFC000"/>
                </patternFill>
              </fill>
            </x14:dxf>
          </x14:cfRule>
          <xm:sqref>D46</xm:sqref>
        </x14:conditionalFormatting>
        <x14:conditionalFormatting xmlns:xm="http://schemas.microsoft.com/office/excel/2006/main">
          <x14:cfRule type="cellIs" priority="21" stopIfTrue="1" operator="equal" id="{B5D2B960-4CCF-4F2F-9BD4-A9B10D59EB1D}">
            <xm:f>Critério!$B$10</xm:f>
            <x14:dxf>
              <fill>
                <patternFill>
                  <bgColor rgb="FF0070C0"/>
                </patternFill>
              </fill>
            </x14:dxf>
          </x14:cfRule>
          <x14:cfRule type="cellIs" priority="22" stopIfTrue="1" operator="equal" id="{C074EDC5-D008-48C6-9FE8-8CC537B58FC8}">
            <xm:f>Critério!$B$9</xm:f>
            <x14:dxf>
              <fill>
                <patternFill>
                  <bgColor rgb="FF00FF00"/>
                </patternFill>
              </fill>
            </x14:dxf>
          </x14:cfRule>
          <x14:cfRule type="cellIs" priority="23" stopIfTrue="1" operator="equal" id="{704BD845-587F-4A46-AD5E-B65D66060F75}">
            <xm:f>Critério!$B$8</xm:f>
            <x14:dxf>
              <fill>
                <patternFill>
                  <bgColor rgb="FFFFFF00"/>
                </patternFill>
              </fill>
            </x14:dxf>
          </x14:cfRule>
          <x14:cfRule type="cellIs" priority="24" stopIfTrue="1" operator="equal" id="{0703E426-4418-4390-9850-24F3B3EFC297}">
            <xm:f>Critério!$B$7</xm:f>
            <x14:dxf>
              <fill>
                <patternFill>
                  <bgColor rgb="FFFF0000"/>
                </patternFill>
              </fill>
            </x14:dxf>
          </x14:cfRule>
          <x14:cfRule type="cellIs" priority="25" stopIfTrue="1" operator="equal" id="{ADA6CE41-B9FA-4FC4-9F1B-32856E2DB810}">
            <xm:f>Critério!$B$6</xm:f>
            <x14:dxf>
              <fill>
                <patternFill>
                  <bgColor rgb="FFC00000"/>
                </patternFill>
              </fill>
            </x14:dxf>
          </x14:cfRule>
          <x14:cfRule type="cellIs" priority="26" stopIfTrue="1" operator="equal" id="{4FA27F35-055E-4277-B7FC-960425EF38BB}">
            <xm:f>Critério!$B$5</xm:f>
            <x14:dxf>
              <fill>
                <patternFill>
                  <bgColor rgb="FFFFC000"/>
                </patternFill>
              </fill>
            </x14:dxf>
          </x14:cfRule>
          <xm:sqref>D48:D51</xm:sqref>
        </x14:conditionalFormatting>
        <x14:conditionalFormatting xmlns:xm="http://schemas.microsoft.com/office/excel/2006/main">
          <x14:cfRule type="cellIs" priority="131" operator="equal" id="{9E018067-2E59-409F-A06E-1EE8ED2A4A17}">
            <xm:f>Critério!$B$14</xm:f>
            <x14:dxf>
              <fill>
                <patternFill>
                  <bgColor rgb="FFFFC000"/>
                </patternFill>
              </fill>
            </x14:dxf>
          </x14:cfRule>
          <x14:cfRule type="cellIs" priority="132" operator="equal" id="{92F9EB97-49DE-4020-896B-23182D4B52B3}">
            <xm:f>Critério!$B$15</xm:f>
            <x14:dxf>
              <fill>
                <patternFill>
                  <bgColor rgb="FFC00000"/>
                </patternFill>
              </fill>
            </x14:dxf>
          </x14:cfRule>
          <x14:cfRule type="cellIs" priority="133" operator="equal" id="{6148E2BF-A83D-4637-9670-42AD8FF03322}">
            <xm:f>Critério!$B$16</xm:f>
            <x14:dxf>
              <fill>
                <patternFill>
                  <bgColor rgb="FFFF0000"/>
                </patternFill>
              </fill>
            </x14:dxf>
          </x14:cfRule>
          <x14:cfRule type="cellIs" priority="134" operator="equal" id="{05BE75E9-4E0A-4DC0-B6FC-890881B7800E}">
            <xm:f>Critério!$B$17</xm:f>
            <x14:dxf>
              <fill>
                <patternFill>
                  <bgColor theme="9" tint="-0.24994659260841701"/>
                </patternFill>
              </fill>
            </x14:dxf>
          </x14:cfRule>
          <x14:cfRule type="cellIs" priority="135" operator="equal" id="{DDF82459-567E-422B-9D99-21CE16DCD6DF}">
            <xm:f>Critério!$B$18</xm:f>
            <x14:dxf>
              <fill>
                <patternFill>
                  <bgColor rgb="FFFFFF00"/>
                </patternFill>
              </fill>
            </x14:dxf>
          </x14:cfRule>
          <x14:cfRule type="cellIs" priority="136" operator="equal" id="{A2955729-A7D9-4E04-8D72-9E3903607AD7}">
            <xm:f>Critério!$B$19</xm:f>
            <x14:dxf>
              <fill>
                <patternFill>
                  <bgColor rgb="FF00FF00"/>
                </patternFill>
              </fill>
            </x14:dxf>
          </x14:cfRule>
          <x14:cfRule type="cellIs" priority="137" operator="equal" id="{B5393B68-C184-45E7-BB76-C3BE65AFF156}">
            <xm:f>Critério!$B$20</xm:f>
            <x14:dxf>
              <fill>
                <patternFill>
                  <bgColor rgb="FF0070C0"/>
                </patternFill>
              </fill>
            </x14:dxf>
          </x14:cfRule>
          <xm:sqref>E5:E11</xm:sqref>
        </x14:conditionalFormatting>
        <x14:conditionalFormatting xmlns:xm="http://schemas.microsoft.com/office/excel/2006/main">
          <x14:cfRule type="cellIs" priority="1" operator="equal" id="{CABA61EB-6025-42F6-B251-777C43213EC9}">
            <xm:f>Critério!$B$14</xm:f>
            <x14:dxf>
              <fill>
                <patternFill>
                  <bgColor rgb="FFFFC000"/>
                </patternFill>
              </fill>
            </x14:dxf>
          </x14:cfRule>
          <x14:cfRule type="cellIs" priority="2" operator="equal" id="{9AB6D51F-5C9D-4034-AAAE-EB0A659847AF}">
            <xm:f>Critério!$B$15</xm:f>
            <x14:dxf>
              <fill>
                <patternFill>
                  <bgColor rgb="FFC00000"/>
                </patternFill>
              </fill>
            </x14:dxf>
          </x14:cfRule>
          <x14:cfRule type="cellIs" priority="3" operator="equal" id="{4C6AE565-9433-4AB9-88AA-33B2024EADAD}">
            <xm:f>Critério!$B$16</xm:f>
            <x14:dxf>
              <fill>
                <patternFill>
                  <bgColor rgb="FFFF0000"/>
                </patternFill>
              </fill>
            </x14:dxf>
          </x14:cfRule>
          <x14:cfRule type="cellIs" priority="4" operator="equal" id="{DEBA83D3-09EE-453F-871A-2839B252A9B4}">
            <xm:f>Critério!$B$17</xm:f>
            <x14:dxf>
              <fill>
                <patternFill>
                  <bgColor theme="9" tint="-0.24994659260841701"/>
                </patternFill>
              </fill>
            </x14:dxf>
          </x14:cfRule>
          <x14:cfRule type="cellIs" priority="5" operator="equal" id="{89D556C8-EEAD-4ECD-8634-BD9CC0322EF5}">
            <xm:f>Critério!$B$18</xm:f>
            <x14:dxf>
              <fill>
                <patternFill>
                  <bgColor rgb="FFFFFF00"/>
                </patternFill>
              </fill>
            </x14:dxf>
          </x14:cfRule>
          <x14:cfRule type="cellIs" priority="6" operator="equal" id="{4398E39F-7D56-4E63-BA84-7CE5A1D4C1BD}">
            <xm:f>Critério!$B$19</xm:f>
            <x14:dxf>
              <fill>
                <patternFill>
                  <bgColor rgb="FF00FF00"/>
                </patternFill>
              </fill>
            </x14:dxf>
          </x14:cfRule>
          <x14:cfRule type="cellIs" priority="7" operator="equal" id="{323AF6A4-ABA7-4DE9-87EC-AB7AEE0D23CD}">
            <xm:f>Critério!$B$20</xm:f>
            <x14:dxf>
              <fill>
                <patternFill>
                  <bgColor rgb="FF0070C0"/>
                </patternFill>
              </fill>
            </x14:dxf>
          </x14:cfRule>
          <xm:sqref>E13:E14</xm:sqref>
        </x14:conditionalFormatting>
        <x14:conditionalFormatting xmlns:xm="http://schemas.microsoft.com/office/excel/2006/main">
          <x14:cfRule type="cellIs" priority="105" operator="equal" id="{C9AF06F0-D2F1-4840-A8CF-520F9574B3A6}">
            <xm:f>Critério!$B$14</xm:f>
            <x14:dxf>
              <fill>
                <patternFill>
                  <bgColor rgb="FFFFC000"/>
                </patternFill>
              </fill>
            </x14:dxf>
          </x14:cfRule>
          <x14:cfRule type="cellIs" priority="106" operator="equal" id="{F4459D76-C0A9-4426-BBB7-B3543BAB299E}">
            <xm:f>Critério!$B$15</xm:f>
            <x14:dxf>
              <fill>
                <patternFill>
                  <bgColor rgb="FFC00000"/>
                </patternFill>
              </fill>
            </x14:dxf>
          </x14:cfRule>
          <x14:cfRule type="cellIs" priority="107" operator="equal" id="{67961C14-9998-4ADE-9448-43DC232B1C69}">
            <xm:f>Critério!$B$16</xm:f>
            <x14:dxf>
              <fill>
                <patternFill>
                  <bgColor rgb="FFFF0000"/>
                </patternFill>
              </fill>
            </x14:dxf>
          </x14:cfRule>
          <x14:cfRule type="cellIs" priority="108" operator="equal" id="{F0A1CD19-4234-4B63-A3E3-746035F78B21}">
            <xm:f>Critério!$B$17</xm:f>
            <x14:dxf>
              <fill>
                <patternFill>
                  <bgColor theme="9" tint="-0.24994659260841701"/>
                </patternFill>
              </fill>
            </x14:dxf>
          </x14:cfRule>
          <x14:cfRule type="cellIs" priority="109" operator="equal" id="{7417D460-0BBB-4B14-81F2-C9EB1190AF0B}">
            <xm:f>Critério!$B$18</xm:f>
            <x14:dxf>
              <fill>
                <patternFill>
                  <bgColor rgb="FFFFFF00"/>
                </patternFill>
              </fill>
            </x14:dxf>
          </x14:cfRule>
          <x14:cfRule type="cellIs" priority="110" operator="equal" id="{1A4DD904-56EC-413B-B45A-3936F72B5A57}">
            <xm:f>Critério!$B$19</xm:f>
            <x14:dxf>
              <fill>
                <patternFill>
                  <bgColor rgb="FF00FF00"/>
                </patternFill>
              </fill>
            </x14:dxf>
          </x14:cfRule>
          <x14:cfRule type="cellIs" priority="111" operator="equal" id="{4EEB994A-1AAD-4883-8D96-0C2F7B4845E0}">
            <xm:f>Critério!$B$20</xm:f>
            <x14:dxf>
              <fill>
                <patternFill>
                  <bgColor rgb="FF0070C0"/>
                </patternFill>
              </fill>
            </x14:dxf>
          </x14:cfRule>
          <xm:sqref>E17</xm:sqref>
        </x14:conditionalFormatting>
        <x14:conditionalFormatting xmlns:xm="http://schemas.microsoft.com/office/excel/2006/main">
          <x14:cfRule type="cellIs" priority="92" operator="equal" id="{80185551-8433-4E58-AE03-6C85A22EFCF3}">
            <xm:f>Critério!$B$14</xm:f>
            <x14:dxf>
              <fill>
                <patternFill>
                  <bgColor rgb="FFFFC000"/>
                </patternFill>
              </fill>
            </x14:dxf>
          </x14:cfRule>
          <x14:cfRule type="cellIs" priority="93" operator="equal" id="{03B970D4-759A-43EB-A608-15F5A4D23DA5}">
            <xm:f>Critério!$B$15</xm:f>
            <x14:dxf>
              <fill>
                <patternFill>
                  <bgColor rgb="FFC00000"/>
                </patternFill>
              </fill>
            </x14:dxf>
          </x14:cfRule>
          <x14:cfRule type="cellIs" priority="94" operator="equal" id="{503EB688-3777-4947-8384-79AB83921119}">
            <xm:f>Critério!$B$16</xm:f>
            <x14:dxf>
              <fill>
                <patternFill>
                  <bgColor rgb="FFFF0000"/>
                </patternFill>
              </fill>
            </x14:dxf>
          </x14:cfRule>
          <x14:cfRule type="cellIs" priority="95" operator="equal" id="{CA43EE08-287F-4F00-B96E-DA2B9323AF75}">
            <xm:f>Critério!$B$17</xm:f>
            <x14:dxf>
              <fill>
                <patternFill>
                  <bgColor theme="9" tint="-0.24994659260841701"/>
                </patternFill>
              </fill>
            </x14:dxf>
          </x14:cfRule>
          <x14:cfRule type="cellIs" priority="96" operator="equal" id="{BECA5730-62A3-4CD8-AF67-0C193C252231}">
            <xm:f>Critério!$B$18</xm:f>
            <x14:dxf>
              <fill>
                <patternFill>
                  <bgColor rgb="FFFFFF00"/>
                </patternFill>
              </fill>
            </x14:dxf>
          </x14:cfRule>
          <x14:cfRule type="cellIs" priority="97" operator="equal" id="{E75459D5-57DF-4C87-8A35-5C00F1E26482}">
            <xm:f>Critério!$B$19</xm:f>
            <x14:dxf>
              <fill>
                <patternFill>
                  <bgColor rgb="FF00FF00"/>
                </patternFill>
              </fill>
            </x14:dxf>
          </x14:cfRule>
          <x14:cfRule type="cellIs" priority="98" operator="equal" id="{BCC4F8BB-BD43-4C35-9582-312242912D44}">
            <xm:f>Critério!$B$20</xm:f>
            <x14:dxf>
              <fill>
                <patternFill>
                  <bgColor rgb="FF0070C0"/>
                </patternFill>
              </fill>
            </x14:dxf>
          </x14:cfRule>
          <xm:sqref>E19:E22</xm:sqref>
        </x14:conditionalFormatting>
        <x14:conditionalFormatting xmlns:xm="http://schemas.microsoft.com/office/excel/2006/main">
          <x14:cfRule type="cellIs" priority="79" operator="equal" id="{2CE8D9E4-246B-429C-AEC8-1394C506892D}">
            <xm:f>Critério!$B$14</xm:f>
            <x14:dxf>
              <fill>
                <patternFill>
                  <bgColor rgb="FFFFC000"/>
                </patternFill>
              </fill>
            </x14:dxf>
          </x14:cfRule>
          <x14:cfRule type="cellIs" priority="80" operator="equal" id="{92D0E618-D40F-4FCD-82C8-99635CB96DBD}">
            <xm:f>Critério!$B$15</xm:f>
            <x14:dxf>
              <fill>
                <patternFill>
                  <bgColor rgb="FFC00000"/>
                </patternFill>
              </fill>
            </x14:dxf>
          </x14:cfRule>
          <x14:cfRule type="cellIs" priority="81" operator="equal" id="{133BFFE8-90F5-41B0-B396-BD96CC7DC9CF}">
            <xm:f>Critério!$B$16</xm:f>
            <x14:dxf>
              <fill>
                <patternFill>
                  <bgColor rgb="FFFF0000"/>
                </patternFill>
              </fill>
            </x14:dxf>
          </x14:cfRule>
          <x14:cfRule type="cellIs" priority="82" operator="equal" id="{1A29BEA2-8946-4C20-854B-2A0133515E5C}">
            <xm:f>Critério!$B$17</xm:f>
            <x14:dxf>
              <fill>
                <patternFill>
                  <bgColor theme="9" tint="-0.24994659260841701"/>
                </patternFill>
              </fill>
            </x14:dxf>
          </x14:cfRule>
          <x14:cfRule type="cellIs" priority="83" operator="equal" id="{8FF70EF3-E4CC-4D1E-8B9F-B3C1F879F2C4}">
            <xm:f>Critério!$B$18</xm:f>
            <x14:dxf>
              <fill>
                <patternFill>
                  <bgColor rgb="FFFFFF00"/>
                </patternFill>
              </fill>
            </x14:dxf>
          </x14:cfRule>
          <x14:cfRule type="cellIs" priority="84" operator="equal" id="{467AA63B-B833-4886-AD68-8B517FE1A12D}">
            <xm:f>Critério!$B$19</xm:f>
            <x14:dxf>
              <fill>
                <patternFill>
                  <bgColor rgb="FF00FF00"/>
                </patternFill>
              </fill>
            </x14:dxf>
          </x14:cfRule>
          <x14:cfRule type="cellIs" priority="85" operator="equal" id="{CB4428B2-3F8D-4541-BC44-720E2D016553}">
            <xm:f>Critério!$B$20</xm:f>
            <x14:dxf>
              <fill>
                <patternFill>
                  <bgColor rgb="FF0070C0"/>
                </patternFill>
              </fill>
            </x14:dxf>
          </x14:cfRule>
          <xm:sqref>E24:E27</xm:sqref>
        </x14:conditionalFormatting>
        <x14:conditionalFormatting xmlns:xm="http://schemas.microsoft.com/office/excel/2006/main">
          <x14:cfRule type="cellIs" priority="66" operator="equal" id="{3CD4C2AB-2F11-4C63-A3B0-C18ABEACF548}">
            <xm:f>Critério!$B$14</xm:f>
            <x14:dxf>
              <fill>
                <patternFill>
                  <bgColor rgb="FFFFC000"/>
                </patternFill>
              </fill>
            </x14:dxf>
          </x14:cfRule>
          <x14:cfRule type="cellIs" priority="67" operator="equal" id="{F2628923-8891-4F55-8688-32C72B11E20E}">
            <xm:f>Critério!$B$15</xm:f>
            <x14:dxf>
              <fill>
                <patternFill>
                  <bgColor rgb="FFC00000"/>
                </patternFill>
              </fill>
            </x14:dxf>
          </x14:cfRule>
          <x14:cfRule type="cellIs" priority="68" operator="equal" id="{C37BEE01-ABD0-428F-BE4C-597F715B0FF0}">
            <xm:f>Critério!$B$16</xm:f>
            <x14:dxf>
              <fill>
                <patternFill>
                  <bgColor rgb="FFFF0000"/>
                </patternFill>
              </fill>
            </x14:dxf>
          </x14:cfRule>
          <x14:cfRule type="cellIs" priority="69" operator="equal" id="{73EC415B-4C56-43D8-A7EA-33FE0E545F81}">
            <xm:f>Critério!$B$17</xm:f>
            <x14:dxf>
              <fill>
                <patternFill>
                  <bgColor theme="9" tint="-0.24994659260841701"/>
                </patternFill>
              </fill>
            </x14:dxf>
          </x14:cfRule>
          <x14:cfRule type="cellIs" priority="70" operator="equal" id="{67FFF06B-5363-46F9-B613-A9FDF0E766BB}">
            <xm:f>Critério!$B$18</xm:f>
            <x14:dxf>
              <fill>
                <patternFill>
                  <bgColor rgb="FFFFFF00"/>
                </patternFill>
              </fill>
            </x14:dxf>
          </x14:cfRule>
          <x14:cfRule type="cellIs" priority="71" operator="equal" id="{82B33456-05D1-42DD-8304-D32CAE983C5D}">
            <xm:f>Critério!$B$19</xm:f>
            <x14:dxf>
              <fill>
                <patternFill>
                  <bgColor rgb="FF00FF00"/>
                </patternFill>
              </fill>
            </x14:dxf>
          </x14:cfRule>
          <x14:cfRule type="cellIs" priority="72" operator="equal" id="{E129FCF3-3B60-43E9-9DE5-E5A833A448CB}">
            <xm:f>Critério!$B$20</xm:f>
            <x14:dxf>
              <fill>
                <patternFill>
                  <bgColor rgb="FF0070C0"/>
                </patternFill>
              </fill>
            </x14:dxf>
          </x14:cfRule>
          <xm:sqref>E29:E31</xm:sqref>
        </x14:conditionalFormatting>
        <x14:conditionalFormatting xmlns:xm="http://schemas.microsoft.com/office/excel/2006/main">
          <x14:cfRule type="cellIs" priority="53" operator="equal" id="{6E62EE70-8488-48EE-A385-B727349904FB}">
            <xm:f>Critério!$B$14</xm:f>
            <x14:dxf>
              <fill>
                <patternFill>
                  <bgColor rgb="FFFFC000"/>
                </patternFill>
              </fill>
            </x14:dxf>
          </x14:cfRule>
          <x14:cfRule type="cellIs" priority="54" operator="equal" id="{790F994D-52AB-4BFE-8264-950E8A56045E}">
            <xm:f>Critério!$B$15</xm:f>
            <x14:dxf>
              <fill>
                <patternFill>
                  <bgColor rgb="FFC00000"/>
                </patternFill>
              </fill>
            </x14:dxf>
          </x14:cfRule>
          <x14:cfRule type="cellIs" priority="55" operator="equal" id="{30CE0BA2-0CF4-4530-AD12-1A100F249FD5}">
            <xm:f>Critério!$B$16</xm:f>
            <x14:dxf>
              <fill>
                <patternFill>
                  <bgColor rgb="FFFF0000"/>
                </patternFill>
              </fill>
            </x14:dxf>
          </x14:cfRule>
          <x14:cfRule type="cellIs" priority="56" operator="equal" id="{1128E021-AC10-474A-B57C-F52F0E1BD656}">
            <xm:f>Critério!$B$17</xm:f>
            <x14:dxf>
              <fill>
                <patternFill>
                  <bgColor theme="9" tint="-0.24994659260841701"/>
                </patternFill>
              </fill>
            </x14:dxf>
          </x14:cfRule>
          <x14:cfRule type="cellIs" priority="57" operator="equal" id="{5EB3DB0C-DB97-47A1-B36A-7E25C5D12C78}">
            <xm:f>Critério!$B$18</xm:f>
            <x14:dxf>
              <fill>
                <patternFill>
                  <bgColor rgb="FFFFFF00"/>
                </patternFill>
              </fill>
            </x14:dxf>
          </x14:cfRule>
          <x14:cfRule type="cellIs" priority="58" operator="equal" id="{68FC6CC2-CCD5-4596-A042-FB0B86E250A4}">
            <xm:f>Critério!$B$19</xm:f>
            <x14:dxf>
              <fill>
                <patternFill>
                  <bgColor rgb="FF00FF00"/>
                </patternFill>
              </fill>
            </x14:dxf>
          </x14:cfRule>
          <x14:cfRule type="cellIs" priority="59" operator="equal" id="{726131CB-C3B9-4FF9-B570-B4BE90026072}">
            <xm:f>Critério!$B$20</xm:f>
            <x14:dxf>
              <fill>
                <patternFill>
                  <bgColor rgb="FF0070C0"/>
                </patternFill>
              </fill>
            </x14:dxf>
          </x14:cfRule>
          <xm:sqref>E33:E39</xm:sqref>
        </x14:conditionalFormatting>
        <x14:conditionalFormatting xmlns:xm="http://schemas.microsoft.com/office/excel/2006/main">
          <x14:cfRule type="cellIs" priority="40" operator="equal" id="{C06FD6F1-47F4-4254-ADD7-FBDC256A520F}">
            <xm:f>Critério!$B$14</xm:f>
            <x14:dxf>
              <fill>
                <patternFill>
                  <bgColor rgb="FFFFC000"/>
                </patternFill>
              </fill>
            </x14:dxf>
          </x14:cfRule>
          <x14:cfRule type="cellIs" priority="41" operator="equal" id="{FFE9D686-2D6B-422B-B305-104688F9F480}">
            <xm:f>Critério!$B$15</xm:f>
            <x14:dxf>
              <fill>
                <patternFill>
                  <bgColor rgb="FFC00000"/>
                </patternFill>
              </fill>
            </x14:dxf>
          </x14:cfRule>
          <x14:cfRule type="cellIs" priority="42" operator="equal" id="{3A7FC9A9-4345-4C8E-8138-B04B925476B2}">
            <xm:f>Critério!$B$16</xm:f>
            <x14:dxf>
              <fill>
                <patternFill>
                  <bgColor rgb="FFFF0000"/>
                </patternFill>
              </fill>
            </x14:dxf>
          </x14:cfRule>
          <x14:cfRule type="cellIs" priority="43" operator="equal" id="{8B9BFD6F-FB55-4E9F-89A7-C99D82216595}">
            <xm:f>Critério!$B$17</xm:f>
            <x14:dxf>
              <fill>
                <patternFill>
                  <bgColor theme="9" tint="-0.24994659260841701"/>
                </patternFill>
              </fill>
            </x14:dxf>
          </x14:cfRule>
          <x14:cfRule type="cellIs" priority="44" operator="equal" id="{14774021-69DF-45DE-BCF8-56077DD935C9}">
            <xm:f>Critério!$B$18</xm:f>
            <x14:dxf>
              <fill>
                <patternFill>
                  <bgColor rgb="FFFFFF00"/>
                </patternFill>
              </fill>
            </x14:dxf>
          </x14:cfRule>
          <x14:cfRule type="cellIs" priority="45" operator="equal" id="{8B2EB5FA-5CFF-456C-B5C0-CD699C039552}">
            <xm:f>Critério!$B$19</xm:f>
            <x14:dxf>
              <fill>
                <patternFill>
                  <bgColor rgb="FF00FF00"/>
                </patternFill>
              </fill>
            </x14:dxf>
          </x14:cfRule>
          <x14:cfRule type="cellIs" priority="46" operator="equal" id="{1C0A1E03-14C4-478F-8AAA-D0212FD1117F}">
            <xm:f>Critério!$B$20</xm:f>
            <x14:dxf>
              <fill>
                <patternFill>
                  <bgColor rgb="FF0070C0"/>
                </patternFill>
              </fill>
            </x14:dxf>
          </x14:cfRule>
          <xm:sqref>E41:E44</xm:sqref>
        </x14:conditionalFormatting>
        <x14:conditionalFormatting xmlns:xm="http://schemas.microsoft.com/office/excel/2006/main">
          <x14:cfRule type="cellIs" priority="27" operator="equal" id="{D9C445A5-9BDD-4168-B92C-7A1F78CE6E35}">
            <xm:f>Critério!$B$14</xm:f>
            <x14:dxf>
              <fill>
                <patternFill>
                  <bgColor rgb="FFFFC000"/>
                </patternFill>
              </fill>
            </x14:dxf>
          </x14:cfRule>
          <x14:cfRule type="cellIs" priority="28" operator="equal" id="{1DB5BF4C-16DA-425F-882A-B0FE993E867E}">
            <xm:f>Critério!$B$15</xm:f>
            <x14:dxf>
              <fill>
                <patternFill>
                  <bgColor rgb="FFC00000"/>
                </patternFill>
              </fill>
            </x14:dxf>
          </x14:cfRule>
          <x14:cfRule type="cellIs" priority="29" operator="equal" id="{4B1E91B4-0081-4C92-8CE7-ABEE31EE739B}">
            <xm:f>Critério!$B$16</xm:f>
            <x14:dxf>
              <fill>
                <patternFill>
                  <bgColor rgb="FFFF0000"/>
                </patternFill>
              </fill>
            </x14:dxf>
          </x14:cfRule>
          <x14:cfRule type="cellIs" priority="30" operator="equal" id="{A9E30EED-369F-44A8-A31B-3D4D67F38E7F}">
            <xm:f>Critério!$B$17</xm:f>
            <x14:dxf>
              <fill>
                <patternFill>
                  <bgColor theme="9" tint="-0.24994659260841701"/>
                </patternFill>
              </fill>
            </x14:dxf>
          </x14:cfRule>
          <x14:cfRule type="cellIs" priority="31" operator="equal" id="{7EA7120D-5554-4444-BBCC-46BBFCFF60AF}">
            <xm:f>Critério!$B$18</xm:f>
            <x14:dxf>
              <fill>
                <patternFill>
                  <bgColor rgb="FFFFFF00"/>
                </patternFill>
              </fill>
            </x14:dxf>
          </x14:cfRule>
          <x14:cfRule type="cellIs" priority="32" operator="equal" id="{6697E72F-979D-46A5-AE4D-E05AE00230F7}">
            <xm:f>Critério!$B$19</xm:f>
            <x14:dxf>
              <fill>
                <patternFill>
                  <bgColor rgb="FF00FF00"/>
                </patternFill>
              </fill>
            </x14:dxf>
          </x14:cfRule>
          <x14:cfRule type="cellIs" priority="33" operator="equal" id="{30B21DD3-4D12-459E-B686-540BDE528C36}">
            <xm:f>Critério!$B$20</xm:f>
            <x14:dxf>
              <fill>
                <patternFill>
                  <bgColor rgb="FF0070C0"/>
                </patternFill>
              </fill>
            </x14:dxf>
          </x14:cfRule>
          <xm:sqref>E46</xm:sqref>
        </x14:conditionalFormatting>
        <x14:conditionalFormatting xmlns:xm="http://schemas.microsoft.com/office/excel/2006/main">
          <x14:cfRule type="cellIs" priority="14" operator="equal" id="{BFFA2D89-770C-459F-A5F3-1B8A20A9D71A}">
            <xm:f>Critério!$B$14</xm:f>
            <x14:dxf>
              <fill>
                <patternFill>
                  <bgColor rgb="FFFFC000"/>
                </patternFill>
              </fill>
            </x14:dxf>
          </x14:cfRule>
          <x14:cfRule type="cellIs" priority="15" operator="equal" id="{45129B12-4911-42CA-B665-333FC0D3969D}">
            <xm:f>Critério!$B$15</xm:f>
            <x14:dxf>
              <fill>
                <patternFill>
                  <bgColor rgb="FFC00000"/>
                </patternFill>
              </fill>
            </x14:dxf>
          </x14:cfRule>
          <x14:cfRule type="cellIs" priority="16" operator="equal" id="{BC8F327B-5639-443A-BD51-1A5F6FC51351}">
            <xm:f>Critério!$B$16</xm:f>
            <x14:dxf>
              <fill>
                <patternFill>
                  <bgColor rgb="FFFF0000"/>
                </patternFill>
              </fill>
            </x14:dxf>
          </x14:cfRule>
          <x14:cfRule type="cellIs" priority="17" operator="equal" id="{8A92D05F-B7B2-4F65-AB87-3693AB98B0EB}">
            <xm:f>Critério!$B$17</xm:f>
            <x14:dxf>
              <fill>
                <patternFill>
                  <bgColor theme="9" tint="-0.24994659260841701"/>
                </patternFill>
              </fill>
            </x14:dxf>
          </x14:cfRule>
          <x14:cfRule type="cellIs" priority="18" operator="equal" id="{F49D07E1-3EB1-4F23-B655-DBD89032DD7C}">
            <xm:f>Critério!$B$18</xm:f>
            <x14:dxf>
              <fill>
                <patternFill>
                  <bgColor rgb="FFFFFF00"/>
                </patternFill>
              </fill>
            </x14:dxf>
          </x14:cfRule>
          <x14:cfRule type="cellIs" priority="19" operator="equal" id="{08F1970A-1A9A-46BD-ADD1-F99172A73467}">
            <xm:f>Critério!$B$19</xm:f>
            <x14:dxf>
              <fill>
                <patternFill>
                  <bgColor rgb="FF00FF00"/>
                </patternFill>
              </fill>
            </x14:dxf>
          </x14:cfRule>
          <x14:cfRule type="cellIs" priority="20" operator="equal" id="{2A3FC9DD-F716-4462-8D99-FA8191615FD5}">
            <xm:f>Critério!$B$20</xm:f>
            <x14:dxf>
              <fill>
                <patternFill>
                  <bgColor rgb="FF0070C0"/>
                </patternFill>
              </fill>
            </x14:dxf>
          </x14:cfRule>
          <xm:sqref>E48:E51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3A968666-4F92-41B7-97FB-F85C13751BA9}">
          <x14:formula1>
            <xm:f>Critério!$B$14:$B$20</xm:f>
          </x14:formula1>
          <xm:sqref>E48:E51 E5:E11 E17 E19:E22 E24:E27 E29:E31 E33:E39 E41:E44 E46 E13:E14</xm:sqref>
        </x14:dataValidation>
        <x14:dataValidation type="list" allowBlank="1" showInputMessage="1" showErrorMessage="1" xr:uid="{4249BE94-A7FC-4881-944D-DE4BEDBA4690}">
          <x14:formula1>
            <xm:f>Critério!$B$5:$B$10</xm:f>
          </x14:formula1>
          <xm:sqref>D48:D51 D5:D11 D17 D19:D22 D24:D27 D29:D31 D33:D39 D41:D44 D46 D13:D14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29"/>
  <sheetViews>
    <sheetView showGridLines="0" zoomScaleNormal="100" workbookViewId="0">
      <selection activeCell="H3" sqref="H1:J1048576"/>
    </sheetView>
  </sheetViews>
  <sheetFormatPr defaultColWidth="20.8867187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 min="16379" max="16379" width="32.6640625" customWidth="1"/>
    <col min="16380" max="16384" width="33.109375" customWidth="1"/>
  </cols>
  <sheetData>
    <row r="1" spans="1:6" x14ac:dyDescent="0.3">
      <c r="A1" s="246" t="s">
        <v>353</v>
      </c>
      <c r="B1" s="253"/>
      <c r="C1" s="253"/>
      <c r="D1" s="253"/>
      <c r="E1" s="253"/>
      <c r="F1" s="253"/>
    </row>
    <row r="2" spans="1:6" ht="15" thickBot="1" x14ac:dyDescent="0.35">
      <c r="A2" s="253"/>
      <c r="B2" s="253"/>
      <c r="C2" s="253"/>
      <c r="D2" s="253"/>
      <c r="E2" s="253"/>
      <c r="F2" s="253"/>
    </row>
    <row r="3" spans="1:6" ht="50.1" customHeight="1" x14ac:dyDescent="0.3">
      <c r="A3" s="59" t="s">
        <v>49</v>
      </c>
      <c r="B3" s="60" t="s">
        <v>50</v>
      </c>
      <c r="C3" s="60" t="s">
        <v>51</v>
      </c>
      <c r="D3" s="107" t="e">
        <f>IF(#REF!=Critério!$B$5,Critério!$B$5,SUM(IF(D4=Critério!$B$5,100%,D4)*SUM(#REF!),IF(D13=Critério!$B$5,100%,D13)*SUM(#REF!),IF(D23=Critério!$B$5,100%,D23)*SUM(#REF!)))/#REF!</f>
        <v>#REF!</v>
      </c>
      <c r="E3" s="60" t="s">
        <v>52</v>
      </c>
      <c r="F3" s="62" t="s">
        <v>53</v>
      </c>
    </row>
    <row r="4" spans="1:6" x14ac:dyDescent="0.3">
      <c r="A4" s="87" t="s">
        <v>354</v>
      </c>
      <c r="B4" s="83"/>
      <c r="C4" s="83"/>
      <c r="D4" s="55" t="e">
        <f>IF(#REF!=COUNTA(A5:A12),Critério!$B$5,SUMPRODUCT(#REF!,#REF!)/SUM(#REF!))</f>
        <v>#REF!</v>
      </c>
      <c r="E4" s="83"/>
      <c r="F4" s="136"/>
    </row>
    <row r="5" spans="1:6" ht="56.1" customHeight="1" x14ac:dyDescent="0.3">
      <c r="A5" s="89" t="s">
        <v>355</v>
      </c>
      <c r="B5" s="84" t="s">
        <v>356</v>
      </c>
      <c r="C5" s="84" t="s">
        <v>357</v>
      </c>
      <c r="D5" s="57">
        <v>3</v>
      </c>
      <c r="E5" s="58" t="s">
        <v>31</v>
      </c>
      <c r="F5" s="137"/>
    </row>
    <row r="6" spans="1:6" ht="83.25" customHeight="1" x14ac:dyDescent="0.3">
      <c r="A6" s="89" t="s">
        <v>358</v>
      </c>
      <c r="B6" s="84" t="s">
        <v>359</v>
      </c>
      <c r="C6" s="84" t="s">
        <v>360</v>
      </c>
      <c r="D6" s="57">
        <v>3</v>
      </c>
      <c r="E6" s="58" t="s">
        <v>31</v>
      </c>
      <c r="F6" s="138"/>
    </row>
    <row r="7" spans="1:6" ht="141" customHeight="1" x14ac:dyDescent="0.3">
      <c r="A7" s="89" t="s">
        <v>361</v>
      </c>
      <c r="B7" s="84" t="s">
        <v>362</v>
      </c>
      <c r="C7" s="84" t="s">
        <v>363</v>
      </c>
      <c r="D7" s="57">
        <v>3</v>
      </c>
      <c r="E7" s="58" t="s">
        <v>31</v>
      </c>
      <c r="F7" s="113"/>
    </row>
    <row r="8" spans="1:6" ht="34.5" customHeight="1" x14ac:dyDescent="0.3">
      <c r="A8" s="89" t="s">
        <v>364</v>
      </c>
      <c r="B8" s="84" t="s">
        <v>365</v>
      </c>
      <c r="C8" s="84" t="s">
        <v>366</v>
      </c>
      <c r="D8" s="57">
        <v>3</v>
      </c>
      <c r="E8" s="58" t="s">
        <v>31</v>
      </c>
      <c r="F8" s="113"/>
    </row>
    <row r="9" spans="1:6" ht="65.25" customHeight="1" x14ac:dyDescent="0.3">
      <c r="A9" s="89" t="s">
        <v>367</v>
      </c>
      <c r="B9" s="84" t="s">
        <v>368</v>
      </c>
      <c r="C9" s="84" t="s">
        <v>369</v>
      </c>
      <c r="D9" s="57">
        <v>3</v>
      </c>
      <c r="E9" s="58" t="s">
        <v>31</v>
      </c>
      <c r="F9" s="113"/>
    </row>
    <row r="10" spans="1:6" ht="48" customHeight="1" x14ac:dyDescent="0.3">
      <c r="A10" s="89" t="s">
        <v>370</v>
      </c>
      <c r="B10" s="84" t="s">
        <v>371</v>
      </c>
      <c r="C10" s="84" t="s">
        <v>372</v>
      </c>
      <c r="D10" s="57">
        <v>3</v>
      </c>
      <c r="E10" s="58" t="s">
        <v>31</v>
      </c>
      <c r="F10" s="113"/>
    </row>
    <row r="11" spans="1:6" ht="54.75" customHeight="1" x14ac:dyDescent="0.3">
      <c r="A11" s="89" t="s">
        <v>373</v>
      </c>
      <c r="B11" s="84" t="s">
        <v>374</v>
      </c>
      <c r="C11" s="84" t="s">
        <v>375</v>
      </c>
      <c r="D11" s="57">
        <v>3</v>
      </c>
      <c r="E11" s="58" t="s">
        <v>31</v>
      </c>
      <c r="F11" s="113"/>
    </row>
    <row r="12" spans="1:6" ht="74.400000000000006" customHeight="1" x14ac:dyDescent="0.3">
      <c r="A12" s="91" t="s">
        <v>376</v>
      </c>
      <c r="B12" s="84" t="s">
        <v>377</v>
      </c>
      <c r="C12" s="84" t="s">
        <v>378</v>
      </c>
      <c r="D12" s="57">
        <v>3</v>
      </c>
      <c r="E12" s="58" t="s">
        <v>31</v>
      </c>
      <c r="F12" s="113"/>
    </row>
    <row r="13" spans="1:6" s="1" customFormat="1" ht="13.8" x14ac:dyDescent="0.3">
      <c r="A13" s="87" t="s">
        <v>379</v>
      </c>
      <c r="B13" s="83"/>
      <c r="C13" s="83"/>
      <c r="D13" s="55" t="e">
        <f>IF(#REF!=COUNTA(A14:A22),Critério!$B$5,SUMPRODUCT(#REF!,#REF!)/SUM(#REF!))</f>
        <v>#REF!</v>
      </c>
      <c r="E13" s="83"/>
      <c r="F13" s="139"/>
    </row>
    <row r="14" spans="1:6" ht="333" customHeight="1" x14ac:dyDescent="0.3">
      <c r="A14" s="91" t="s">
        <v>380</v>
      </c>
      <c r="B14" s="84" t="s">
        <v>381</v>
      </c>
      <c r="C14" s="84" t="s">
        <v>382</v>
      </c>
      <c r="D14" s="57">
        <v>3</v>
      </c>
      <c r="E14" s="58" t="s">
        <v>31</v>
      </c>
      <c r="F14" s="140"/>
    </row>
    <row r="15" spans="1:6" ht="66.599999999999994" customHeight="1" x14ac:dyDescent="0.3">
      <c r="A15" s="91" t="s">
        <v>383</v>
      </c>
      <c r="B15" s="84" t="s">
        <v>384</v>
      </c>
      <c r="C15" s="84" t="s">
        <v>385</v>
      </c>
      <c r="D15" s="57">
        <v>3</v>
      </c>
      <c r="E15" s="58" t="s">
        <v>31</v>
      </c>
      <c r="F15" s="113"/>
    </row>
    <row r="16" spans="1:6" ht="81" customHeight="1" x14ac:dyDescent="0.3">
      <c r="A16" s="91" t="s">
        <v>386</v>
      </c>
      <c r="B16" s="84" t="s">
        <v>387</v>
      </c>
      <c r="C16" s="84" t="s">
        <v>388</v>
      </c>
      <c r="D16" s="57">
        <v>3</v>
      </c>
      <c r="E16" s="58" t="s">
        <v>31</v>
      </c>
      <c r="F16" s="113"/>
    </row>
    <row r="17" spans="1:6" ht="81.900000000000006" customHeight="1" x14ac:dyDescent="0.3">
      <c r="A17" s="91" t="s">
        <v>389</v>
      </c>
      <c r="B17" s="84" t="s">
        <v>390</v>
      </c>
      <c r="C17" s="84" t="s">
        <v>391</v>
      </c>
      <c r="D17" s="57">
        <v>3</v>
      </c>
      <c r="E17" s="58" t="s">
        <v>31</v>
      </c>
      <c r="F17" s="90"/>
    </row>
    <row r="18" spans="1:6" ht="39" customHeight="1" x14ac:dyDescent="0.3">
      <c r="A18" s="91" t="s">
        <v>392</v>
      </c>
      <c r="B18" s="84" t="s">
        <v>393</v>
      </c>
      <c r="C18" s="84" t="s">
        <v>394</v>
      </c>
      <c r="D18" s="57">
        <v>3</v>
      </c>
      <c r="E18" s="58" t="s">
        <v>31</v>
      </c>
      <c r="F18" s="90"/>
    </row>
    <row r="19" spans="1:6" ht="43.5" customHeight="1" x14ac:dyDescent="0.3">
      <c r="A19" s="91" t="s">
        <v>395</v>
      </c>
      <c r="B19" s="84" t="s">
        <v>396</v>
      </c>
      <c r="C19" s="84" t="s">
        <v>397</v>
      </c>
      <c r="D19" s="57">
        <v>3</v>
      </c>
      <c r="E19" s="58" t="s">
        <v>31</v>
      </c>
      <c r="F19" s="90"/>
    </row>
    <row r="20" spans="1:6" ht="136.5" customHeight="1" x14ac:dyDescent="0.3">
      <c r="A20" s="91" t="s">
        <v>398</v>
      </c>
      <c r="B20" s="84" t="s">
        <v>399</v>
      </c>
      <c r="C20" s="84" t="s">
        <v>400</v>
      </c>
      <c r="D20" s="57">
        <v>3</v>
      </c>
      <c r="E20" s="58" t="s">
        <v>31</v>
      </c>
      <c r="F20" s="90"/>
    </row>
    <row r="21" spans="1:6" ht="164.4" customHeight="1" x14ac:dyDescent="0.3">
      <c r="A21" s="91" t="s">
        <v>401</v>
      </c>
      <c r="B21" s="84" t="s">
        <v>402</v>
      </c>
      <c r="C21" s="84" t="s">
        <v>403</v>
      </c>
      <c r="D21" s="57">
        <v>3</v>
      </c>
      <c r="E21" s="58" t="s">
        <v>31</v>
      </c>
      <c r="F21" s="90"/>
    </row>
    <row r="22" spans="1:6" ht="161.1" customHeight="1" x14ac:dyDescent="0.3">
      <c r="A22" s="91" t="s">
        <v>404</v>
      </c>
      <c r="B22" s="84" t="s">
        <v>405</v>
      </c>
      <c r="C22" s="84" t="s">
        <v>406</v>
      </c>
      <c r="D22" s="57">
        <v>3</v>
      </c>
      <c r="E22" s="58" t="s">
        <v>31</v>
      </c>
      <c r="F22" s="90"/>
    </row>
    <row r="23" spans="1:6" s="1" customFormat="1" ht="13.8" x14ac:dyDescent="0.3">
      <c r="A23" s="87" t="s">
        <v>407</v>
      </c>
      <c r="B23" s="83"/>
      <c r="C23" s="135"/>
      <c r="D23" s="55" t="e">
        <f>IF(#REF!=COUNTA(A24:A29),Critério!$B$5,SUMPRODUCT(#REF!,#REF!)/SUM(#REF!))</f>
        <v>#REF!</v>
      </c>
      <c r="E23" s="135"/>
      <c r="F23" s="139"/>
    </row>
    <row r="24" spans="1:6" ht="224.4" x14ac:dyDescent="0.3">
      <c r="A24" s="91" t="s">
        <v>408</v>
      </c>
      <c r="B24" s="84" t="s">
        <v>409</v>
      </c>
      <c r="C24" s="84" t="s">
        <v>410</v>
      </c>
      <c r="D24" s="57">
        <v>3</v>
      </c>
      <c r="E24" s="58" t="s">
        <v>31</v>
      </c>
      <c r="F24" s="141"/>
    </row>
    <row r="25" spans="1:6" ht="45.9" customHeight="1" x14ac:dyDescent="0.3">
      <c r="A25" s="91" t="s">
        <v>411</v>
      </c>
      <c r="B25" s="84" t="s">
        <v>412</v>
      </c>
      <c r="C25" s="84" t="s">
        <v>413</v>
      </c>
      <c r="D25" s="57">
        <v>3</v>
      </c>
      <c r="E25" s="58" t="s">
        <v>31</v>
      </c>
      <c r="F25" s="90"/>
    </row>
    <row r="26" spans="1:6" ht="47.4" customHeight="1" x14ac:dyDescent="0.3">
      <c r="A26" s="91" t="s">
        <v>414</v>
      </c>
      <c r="B26" s="84" t="s">
        <v>415</v>
      </c>
      <c r="C26" s="84" t="s">
        <v>416</v>
      </c>
      <c r="D26" s="57">
        <v>3</v>
      </c>
      <c r="E26" s="58" t="s">
        <v>31</v>
      </c>
      <c r="F26" s="90"/>
    </row>
    <row r="27" spans="1:6" ht="45.6" customHeight="1" x14ac:dyDescent="0.3">
      <c r="A27" s="91" t="s">
        <v>417</v>
      </c>
      <c r="B27" s="84" t="s">
        <v>418</v>
      </c>
      <c r="C27" s="84" t="s">
        <v>419</v>
      </c>
      <c r="D27" s="57">
        <v>3</v>
      </c>
      <c r="E27" s="58" t="s">
        <v>31</v>
      </c>
      <c r="F27" s="90"/>
    </row>
    <row r="28" spans="1:6" ht="65.25" customHeight="1" x14ac:dyDescent="0.3">
      <c r="A28" s="91" t="s">
        <v>420</v>
      </c>
      <c r="B28" s="84" t="s">
        <v>421</v>
      </c>
      <c r="C28" s="84" t="s">
        <v>422</v>
      </c>
      <c r="D28" s="57">
        <v>3</v>
      </c>
      <c r="E28" s="58" t="s">
        <v>31</v>
      </c>
      <c r="F28" s="90"/>
    </row>
    <row r="29" spans="1:6" ht="56.25" customHeight="1" thickBot="1" x14ac:dyDescent="0.35">
      <c r="A29" s="116" t="s">
        <v>423</v>
      </c>
      <c r="B29" s="94" t="s">
        <v>424</v>
      </c>
      <c r="C29" s="94" t="s">
        <v>425</v>
      </c>
      <c r="D29" s="73">
        <v>3</v>
      </c>
      <c r="E29" s="74" t="s">
        <v>31</v>
      </c>
      <c r="F29" s="95"/>
    </row>
  </sheetData>
  <autoFilter ref="A3:F3" xr:uid="{00000000-0001-0000-0700-000000000000}"/>
  <mergeCells count="1">
    <mergeCell ref="A1:F2"/>
  </mergeCells>
  <phoneticPr fontId="12" type="noConversion"/>
  <conditionalFormatting sqref="A3">
    <cfRule type="duplicateValues" dxfId="366" priority="60"/>
  </conditionalFormatting>
  <conditionalFormatting sqref="A5:A12">
    <cfRule type="duplicateValues" dxfId="365" priority="176"/>
  </conditionalFormatting>
  <conditionalFormatting sqref="A14:A22">
    <cfRule type="duplicateValues" dxfId="364" priority="58"/>
  </conditionalFormatting>
  <conditionalFormatting sqref="A24:A29">
    <cfRule type="duplicateValues" dxfId="363" priority="51"/>
  </conditionalFormatting>
  <dataValidations count="1">
    <dataValidation type="list" allowBlank="1" showInputMessage="1" showErrorMessage="1" sqref="HK23" xr:uid="{00000000-0002-0000-0700-000000000000}">
      <formula1>#REF!</formula1>
    </dataValidation>
  </dataValidations>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6147"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6147"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34" stopIfTrue="1" operator="equal" id="{7749B58D-1BF1-42E4-8CF4-CC01D8D34AB5}">
            <xm:f>Critério!$B$10</xm:f>
            <x14:dxf>
              <fill>
                <patternFill>
                  <bgColor rgb="FF0070C0"/>
                </patternFill>
              </fill>
            </x14:dxf>
          </x14:cfRule>
          <x14:cfRule type="cellIs" priority="35" stopIfTrue="1" operator="equal" id="{09C3299E-7F0C-4086-8C07-8637C2B75DF7}">
            <xm:f>Critério!$B$9</xm:f>
            <x14:dxf>
              <fill>
                <patternFill>
                  <bgColor rgb="FF00FF00"/>
                </patternFill>
              </fill>
            </x14:dxf>
          </x14:cfRule>
          <x14:cfRule type="cellIs" priority="36" stopIfTrue="1" operator="equal" id="{E8A3D5A4-67D7-4CBA-B8B4-90BFBE380E4B}">
            <xm:f>Critério!$B$8</xm:f>
            <x14:dxf>
              <fill>
                <patternFill>
                  <bgColor rgb="FFFFFF00"/>
                </patternFill>
              </fill>
            </x14:dxf>
          </x14:cfRule>
          <x14:cfRule type="cellIs" priority="37" stopIfTrue="1" operator="equal" id="{B10B056C-47D1-4C24-B448-3DB31FD2F74E}">
            <xm:f>Critério!$B$7</xm:f>
            <x14:dxf>
              <fill>
                <patternFill>
                  <bgColor rgb="FFFF0000"/>
                </patternFill>
              </fill>
            </x14:dxf>
          </x14:cfRule>
          <x14:cfRule type="cellIs" priority="38" stopIfTrue="1" operator="equal" id="{BCDEFE3A-C376-4CA0-B627-017C0E17FF84}">
            <xm:f>Critério!$B$6</xm:f>
            <x14:dxf>
              <fill>
                <patternFill>
                  <bgColor rgb="FFC00000"/>
                </patternFill>
              </fill>
            </x14:dxf>
          </x14:cfRule>
          <x14:cfRule type="cellIs" priority="39" stopIfTrue="1" operator="equal" id="{594E90EA-A0AA-4D85-8382-D88730B3FE1B}">
            <xm:f>Critério!$B$5</xm:f>
            <x14:dxf>
              <fill>
                <patternFill>
                  <bgColor rgb="FFFFC000"/>
                </patternFill>
              </fill>
            </x14:dxf>
          </x14:cfRule>
          <xm:sqref>D5:D12</xm:sqref>
        </x14:conditionalFormatting>
        <x14:conditionalFormatting xmlns:xm="http://schemas.microsoft.com/office/excel/2006/main">
          <x14:cfRule type="cellIs" priority="21" stopIfTrue="1" operator="equal" id="{35889379-B060-4AC5-AF85-EBBC774035E1}">
            <xm:f>Critério!$B$10</xm:f>
            <x14:dxf>
              <fill>
                <patternFill>
                  <bgColor rgb="FF0070C0"/>
                </patternFill>
              </fill>
            </x14:dxf>
          </x14:cfRule>
          <x14:cfRule type="cellIs" priority="22" stopIfTrue="1" operator="equal" id="{33E7AD9D-E051-40C1-BA28-B7724F5E7F0B}">
            <xm:f>Critério!$B$9</xm:f>
            <x14:dxf>
              <fill>
                <patternFill>
                  <bgColor rgb="FF00FF00"/>
                </patternFill>
              </fill>
            </x14:dxf>
          </x14:cfRule>
          <x14:cfRule type="cellIs" priority="23" stopIfTrue="1" operator="equal" id="{ACA43EAB-B29F-4E13-9724-42D8B40AE89F}">
            <xm:f>Critério!$B$8</xm:f>
            <x14:dxf>
              <fill>
                <patternFill>
                  <bgColor rgb="FFFFFF00"/>
                </patternFill>
              </fill>
            </x14:dxf>
          </x14:cfRule>
          <x14:cfRule type="cellIs" priority="24" stopIfTrue="1" operator="equal" id="{1162124C-E897-4CC4-8F6C-2205D011AA38}">
            <xm:f>Critério!$B$7</xm:f>
            <x14:dxf>
              <fill>
                <patternFill>
                  <bgColor rgb="FFFF0000"/>
                </patternFill>
              </fill>
            </x14:dxf>
          </x14:cfRule>
          <x14:cfRule type="cellIs" priority="25" stopIfTrue="1" operator="equal" id="{D3797DEC-7DBD-49D6-BDF1-59A4DEC4C9FE}">
            <xm:f>Critério!$B$6</xm:f>
            <x14:dxf>
              <fill>
                <patternFill>
                  <bgColor rgb="FFC00000"/>
                </patternFill>
              </fill>
            </x14:dxf>
          </x14:cfRule>
          <x14:cfRule type="cellIs" priority="26" stopIfTrue="1" operator="equal" id="{826741F2-C20E-433F-9472-320A73C2C266}">
            <xm:f>Critério!$B$5</xm:f>
            <x14:dxf>
              <fill>
                <patternFill>
                  <bgColor rgb="FFFFC000"/>
                </patternFill>
              </fill>
            </x14:dxf>
          </x14:cfRule>
          <xm:sqref>D14:D22</xm:sqref>
        </x14:conditionalFormatting>
        <x14:conditionalFormatting xmlns:xm="http://schemas.microsoft.com/office/excel/2006/main">
          <x14:cfRule type="cellIs" priority="8" stopIfTrue="1" operator="equal" id="{4081B7E6-C2EC-48BA-98D5-8FCBEBFFF67E}">
            <xm:f>Critério!$B$10</xm:f>
            <x14:dxf>
              <fill>
                <patternFill>
                  <bgColor rgb="FF0070C0"/>
                </patternFill>
              </fill>
            </x14:dxf>
          </x14:cfRule>
          <x14:cfRule type="cellIs" priority="9" stopIfTrue="1" operator="equal" id="{97EB6BE4-2F9D-467A-B2E1-44E9F53DE947}">
            <xm:f>Critério!$B$9</xm:f>
            <x14:dxf>
              <fill>
                <patternFill>
                  <bgColor rgb="FF00FF00"/>
                </patternFill>
              </fill>
            </x14:dxf>
          </x14:cfRule>
          <x14:cfRule type="cellIs" priority="10" stopIfTrue="1" operator="equal" id="{9FF27185-7982-48EC-9CC1-64AC8DABB859}">
            <xm:f>Critério!$B$8</xm:f>
            <x14:dxf>
              <fill>
                <patternFill>
                  <bgColor rgb="FFFFFF00"/>
                </patternFill>
              </fill>
            </x14:dxf>
          </x14:cfRule>
          <x14:cfRule type="cellIs" priority="11" stopIfTrue="1" operator="equal" id="{C9A5C0F8-1A63-4EE8-8E45-97C8D1428E45}">
            <xm:f>Critério!$B$7</xm:f>
            <x14:dxf>
              <fill>
                <patternFill>
                  <bgColor rgb="FFFF0000"/>
                </patternFill>
              </fill>
            </x14:dxf>
          </x14:cfRule>
          <x14:cfRule type="cellIs" priority="12" stopIfTrue="1" operator="equal" id="{8DFDC9C8-D1E5-4086-A20A-73F046787F69}">
            <xm:f>Critério!$B$6</xm:f>
            <x14:dxf>
              <fill>
                <patternFill>
                  <bgColor rgb="FFC00000"/>
                </patternFill>
              </fill>
            </x14:dxf>
          </x14:cfRule>
          <x14:cfRule type="cellIs" priority="13" stopIfTrue="1" operator="equal" id="{67AFF288-5642-4BF3-ABF7-DF31125AEA90}">
            <xm:f>Critério!$B$5</xm:f>
            <x14:dxf>
              <fill>
                <patternFill>
                  <bgColor rgb="FFFFC000"/>
                </patternFill>
              </fill>
            </x14:dxf>
          </x14:cfRule>
          <xm:sqref>D24:D29</xm:sqref>
        </x14:conditionalFormatting>
        <x14:conditionalFormatting xmlns:xm="http://schemas.microsoft.com/office/excel/2006/main">
          <x14:cfRule type="cellIs" priority="27" operator="equal" id="{7D02F6A0-BFC6-4FEC-9CEE-AC3ED776627A}">
            <xm:f>Critério!$B$14</xm:f>
            <x14:dxf>
              <fill>
                <patternFill>
                  <bgColor rgb="FFFFC000"/>
                </patternFill>
              </fill>
            </x14:dxf>
          </x14:cfRule>
          <x14:cfRule type="cellIs" priority="28" operator="equal" id="{972286CC-C6E2-4332-998E-28E623643FB0}">
            <xm:f>Critério!$B$15</xm:f>
            <x14:dxf>
              <fill>
                <patternFill>
                  <bgColor rgb="FFC00000"/>
                </patternFill>
              </fill>
            </x14:dxf>
          </x14:cfRule>
          <x14:cfRule type="cellIs" priority="29" operator="equal" id="{0F9678C0-B152-47CC-89D7-E93447AAD029}">
            <xm:f>Critério!$B$16</xm:f>
            <x14:dxf>
              <fill>
                <patternFill>
                  <bgColor rgb="FFFF0000"/>
                </patternFill>
              </fill>
            </x14:dxf>
          </x14:cfRule>
          <x14:cfRule type="cellIs" priority="30" operator="equal" id="{FE26EB17-C4F0-434E-B78A-FDCCCE2F0354}">
            <xm:f>Critério!$B$17</xm:f>
            <x14:dxf>
              <fill>
                <patternFill>
                  <bgColor theme="9" tint="-0.24994659260841701"/>
                </patternFill>
              </fill>
            </x14:dxf>
          </x14:cfRule>
          <x14:cfRule type="cellIs" priority="31" operator="equal" id="{EC96AC44-A8AA-4D7B-9A4F-35BC9B5BB6FF}">
            <xm:f>Critério!$B$18</xm:f>
            <x14:dxf>
              <fill>
                <patternFill>
                  <bgColor rgb="FFFFFF00"/>
                </patternFill>
              </fill>
            </x14:dxf>
          </x14:cfRule>
          <x14:cfRule type="cellIs" priority="32" operator="equal" id="{9B4D062F-CC91-43EF-96C3-E48B6102BD25}">
            <xm:f>Critério!$B$19</xm:f>
            <x14:dxf>
              <fill>
                <patternFill>
                  <bgColor rgb="FF00FF00"/>
                </patternFill>
              </fill>
            </x14:dxf>
          </x14:cfRule>
          <x14:cfRule type="cellIs" priority="33" operator="equal" id="{B6792969-D8B4-4C16-A6B7-F51B2BD58151}">
            <xm:f>Critério!$B$20</xm:f>
            <x14:dxf>
              <fill>
                <patternFill>
                  <bgColor rgb="FF0070C0"/>
                </patternFill>
              </fill>
            </x14:dxf>
          </x14:cfRule>
          <xm:sqref>E5:E12</xm:sqref>
        </x14:conditionalFormatting>
        <x14:conditionalFormatting xmlns:xm="http://schemas.microsoft.com/office/excel/2006/main">
          <x14:cfRule type="cellIs" priority="14" operator="equal" id="{039DE579-2756-484A-9CD7-1A2A9DFC79A2}">
            <xm:f>Critério!$B$14</xm:f>
            <x14:dxf>
              <fill>
                <patternFill>
                  <bgColor rgb="FFFFC000"/>
                </patternFill>
              </fill>
            </x14:dxf>
          </x14:cfRule>
          <x14:cfRule type="cellIs" priority="15" operator="equal" id="{AA38A6F4-B033-4A53-AB52-19727A604800}">
            <xm:f>Critério!$B$15</xm:f>
            <x14:dxf>
              <fill>
                <patternFill>
                  <bgColor rgb="FFC00000"/>
                </patternFill>
              </fill>
            </x14:dxf>
          </x14:cfRule>
          <x14:cfRule type="cellIs" priority="16" operator="equal" id="{2E2D92E5-979F-40DD-8263-4912D38522B5}">
            <xm:f>Critério!$B$16</xm:f>
            <x14:dxf>
              <fill>
                <patternFill>
                  <bgColor rgb="FFFF0000"/>
                </patternFill>
              </fill>
            </x14:dxf>
          </x14:cfRule>
          <x14:cfRule type="cellIs" priority="17" operator="equal" id="{AC365208-D320-4CCE-9EAC-D54D95A225D7}">
            <xm:f>Critério!$B$17</xm:f>
            <x14:dxf>
              <fill>
                <patternFill>
                  <bgColor theme="9" tint="-0.24994659260841701"/>
                </patternFill>
              </fill>
            </x14:dxf>
          </x14:cfRule>
          <x14:cfRule type="cellIs" priority="18" operator="equal" id="{C2947243-1F21-4A9E-BE01-E0CF14011614}">
            <xm:f>Critério!$B$18</xm:f>
            <x14:dxf>
              <fill>
                <patternFill>
                  <bgColor rgb="FFFFFF00"/>
                </patternFill>
              </fill>
            </x14:dxf>
          </x14:cfRule>
          <x14:cfRule type="cellIs" priority="19" operator="equal" id="{C8E03F9E-82CA-4329-92BC-CD53790AFB23}">
            <xm:f>Critério!$B$19</xm:f>
            <x14:dxf>
              <fill>
                <patternFill>
                  <bgColor rgb="FF00FF00"/>
                </patternFill>
              </fill>
            </x14:dxf>
          </x14:cfRule>
          <x14:cfRule type="cellIs" priority="20" operator="equal" id="{8DA578D8-C360-4BB3-AF31-14A2066BD44A}">
            <xm:f>Critério!$B$20</xm:f>
            <x14:dxf>
              <fill>
                <patternFill>
                  <bgColor rgb="FF0070C0"/>
                </patternFill>
              </fill>
            </x14:dxf>
          </x14:cfRule>
          <xm:sqref>E14:E22</xm:sqref>
        </x14:conditionalFormatting>
        <x14:conditionalFormatting xmlns:xm="http://schemas.microsoft.com/office/excel/2006/main">
          <x14:cfRule type="cellIs" priority="1" operator="equal" id="{47C176D3-CADD-439B-ABD2-77B9B42616B7}">
            <xm:f>Critério!$B$14</xm:f>
            <x14:dxf>
              <fill>
                <patternFill>
                  <bgColor rgb="FFFFC000"/>
                </patternFill>
              </fill>
            </x14:dxf>
          </x14:cfRule>
          <x14:cfRule type="cellIs" priority="2" operator="equal" id="{9CB3810F-B8BA-437A-BC4E-36FB71F1D3A0}">
            <xm:f>Critério!$B$15</xm:f>
            <x14:dxf>
              <fill>
                <patternFill>
                  <bgColor rgb="FFC00000"/>
                </patternFill>
              </fill>
            </x14:dxf>
          </x14:cfRule>
          <x14:cfRule type="cellIs" priority="3" operator="equal" id="{51890E73-A6CD-4C75-8159-F5C08DAF61AB}">
            <xm:f>Critério!$B$16</xm:f>
            <x14:dxf>
              <fill>
                <patternFill>
                  <bgColor rgb="FFFF0000"/>
                </patternFill>
              </fill>
            </x14:dxf>
          </x14:cfRule>
          <x14:cfRule type="cellIs" priority="4" operator="equal" id="{D9E35952-4B2B-490A-80AB-50D4B5EC24EE}">
            <xm:f>Critério!$B$17</xm:f>
            <x14:dxf>
              <fill>
                <patternFill>
                  <bgColor theme="9" tint="-0.24994659260841701"/>
                </patternFill>
              </fill>
            </x14:dxf>
          </x14:cfRule>
          <x14:cfRule type="cellIs" priority="5" operator="equal" id="{B090AF6B-0092-4514-9748-F5E7464F3B74}">
            <xm:f>Critério!$B$18</xm:f>
            <x14:dxf>
              <fill>
                <patternFill>
                  <bgColor rgb="FFFFFF00"/>
                </patternFill>
              </fill>
            </x14:dxf>
          </x14:cfRule>
          <x14:cfRule type="cellIs" priority="6" operator="equal" id="{6C174EBD-FD01-4084-8DA0-BDFE31A64532}">
            <xm:f>Critério!$B$19</xm:f>
            <x14:dxf>
              <fill>
                <patternFill>
                  <bgColor rgb="FF00FF00"/>
                </patternFill>
              </fill>
            </x14:dxf>
          </x14:cfRule>
          <x14:cfRule type="cellIs" priority="7" operator="equal" id="{A3547395-ED5A-4E94-858D-D2489064A79F}">
            <xm:f>Critério!$B$20</xm:f>
            <x14:dxf>
              <fill>
                <patternFill>
                  <bgColor rgb="FF0070C0"/>
                </patternFill>
              </fill>
            </x14:dxf>
          </x14:cfRule>
          <xm:sqref>E24:E29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9A510BA-DB7C-40CC-BC26-7CE455BD7E6C}">
          <x14:formula1>
            <xm:f>Critério!$B$5:$B$10</xm:f>
          </x14:formula1>
          <xm:sqref>D5:D12 D14:D22 D24:D29</xm:sqref>
        </x14:dataValidation>
        <x14:dataValidation type="list" allowBlank="1" showInputMessage="1" showErrorMessage="1" xr:uid="{1BD9B4D8-1789-452D-833D-51CC215C3018}">
          <x14:formula1>
            <xm:f>Critério!$B$14:$B$20</xm:f>
          </x14:formula1>
          <xm:sqref>E5:E12 E14:E22 E24:E29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27"/>
  <sheetViews>
    <sheetView showGridLines="0" zoomScaleNormal="100" workbookViewId="0">
      <selection activeCell="H3" sqref="H1:J1048576"/>
    </sheetView>
  </sheetViews>
  <sheetFormatPr defaultColWidth="20.3320312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426</v>
      </c>
      <c r="B1" s="253"/>
      <c r="C1" s="253"/>
      <c r="D1" s="253"/>
      <c r="E1" s="253"/>
      <c r="F1" s="253"/>
    </row>
    <row r="2" spans="1:6" ht="15" thickBot="1" x14ac:dyDescent="0.35">
      <c r="A2" s="253"/>
      <c r="B2" s="253"/>
      <c r="C2" s="253"/>
      <c r="D2" s="253"/>
      <c r="E2" s="253"/>
      <c r="F2" s="253"/>
    </row>
    <row r="3" spans="1:6" ht="50.1" customHeight="1" x14ac:dyDescent="0.3">
      <c r="A3" s="59" t="s">
        <v>49</v>
      </c>
      <c r="B3" s="60" t="s">
        <v>50</v>
      </c>
      <c r="C3" s="60" t="s">
        <v>51</v>
      </c>
      <c r="D3" s="107" t="e">
        <f>D4</f>
        <v>#REF!</v>
      </c>
      <c r="E3" s="60" t="s">
        <v>52</v>
      </c>
      <c r="F3" s="62" t="s">
        <v>53</v>
      </c>
    </row>
    <row r="4" spans="1:6" x14ac:dyDescent="0.3">
      <c r="A4" s="87" t="s">
        <v>427</v>
      </c>
      <c r="B4" s="83"/>
      <c r="C4" s="83"/>
      <c r="D4" s="55" t="e">
        <f>IF(#REF!=COUNTA(A5:A27),Critério!$B$5,SUMPRODUCT(#REF!,#REF!)/SUM(#REF!))</f>
        <v>#REF!</v>
      </c>
      <c r="E4" s="83"/>
      <c r="F4" s="108"/>
    </row>
    <row r="5" spans="1:6" ht="80.099999999999994" customHeight="1" x14ac:dyDescent="0.3">
      <c r="A5" s="91" t="s">
        <v>428</v>
      </c>
      <c r="B5" s="128" t="s">
        <v>429</v>
      </c>
      <c r="C5" s="128" t="s">
        <v>430</v>
      </c>
      <c r="D5" s="57">
        <v>3</v>
      </c>
      <c r="E5" s="58" t="s">
        <v>31</v>
      </c>
      <c r="F5" s="113"/>
    </row>
    <row r="6" spans="1:6" ht="248.4" customHeight="1" x14ac:dyDescent="0.3">
      <c r="A6" s="91" t="s">
        <v>431</v>
      </c>
      <c r="B6" s="128" t="s">
        <v>432</v>
      </c>
      <c r="C6" s="128" t="s">
        <v>433</v>
      </c>
      <c r="D6" s="57">
        <v>3</v>
      </c>
      <c r="E6" s="58" t="s">
        <v>31</v>
      </c>
      <c r="F6" s="113"/>
    </row>
    <row r="7" spans="1:6" ht="82.5" customHeight="1" x14ac:dyDescent="0.3">
      <c r="A7" s="91" t="s">
        <v>434</v>
      </c>
      <c r="B7" s="84" t="s">
        <v>435</v>
      </c>
      <c r="C7" s="84" t="s">
        <v>436</v>
      </c>
      <c r="D7" s="57">
        <v>3</v>
      </c>
      <c r="E7" s="58" t="s">
        <v>31</v>
      </c>
      <c r="F7" s="113"/>
    </row>
    <row r="8" spans="1:6" ht="62.25" customHeight="1" x14ac:dyDescent="0.3">
      <c r="A8" s="91" t="s">
        <v>437</v>
      </c>
      <c r="B8" s="128" t="s">
        <v>438</v>
      </c>
      <c r="C8" s="128" t="s">
        <v>439</v>
      </c>
      <c r="D8" s="57">
        <v>3</v>
      </c>
      <c r="E8" s="58" t="s">
        <v>31</v>
      </c>
      <c r="F8" s="113"/>
    </row>
    <row r="9" spans="1:6" ht="84.75" customHeight="1" x14ac:dyDescent="0.3">
      <c r="A9" s="91" t="s">
        <v>440</v>
      </c>
      <c r="B9" s="128" t="s">
        <v>441</v>
      </c>
      <c r="C9" s="128" t="s">
        <v>442</v>
      </c>
      <c r="D9" s="57">
        <v>3</v>
      </c>
      <c r="E9" s="58" t="s">
        <v>31</v>
      </c>
      <c r="F9" s="113"/>
    </row>
    <row r="10" spans="1:6" ht="68.25" customHeight="1" x14ac:dyDescent="0.3">
      <c r="A10" s="91" t="s">
        <v>443</v>
      </c>
      <c r="B10" s="128" t="s">
        <v>444</v>
      </c>
      <c r="C10" s="128" t="s">
        <v>445</v>
      </c>
      <c r="D10" s="57">
        <v>3</v>
      </c>
      <c r="E10" s="58" t="s">
        <v>31</v>
      </c>
      <c r="F10" s="113"/>
    </row>
    <row r="11" spans="1:6" ht="129" customHeight="1" x14ac:dyDescent="0.3">
      <c r="A11" s="91" t="s">
        <v>446</v>
      </c>
      <c r="B11" s="128" t="s">
        <v>447</v>
      </c>
      <c r="C11" s="128" t="s">
        <v>448</v>
      </c>
      <c r="D11" s="57">
        <v>3</v>
      </c>
      <c r="E11" s="58" t="s">
        <v>31</v>
      </c>
      <c r="F11" s="113"/>
    </row>
    <row r="12" spans="1:6" ht="129" customHeight="1" x14ac:dyDescent="0.3">
      <c r="A12" s="91" t="s">
        <v>449</v>
      </c>
      <c r="B12" s="128" t="s">
        <v>450</v>
      </c>
      <c r="C12" s="128" t="s">
        <v>451</v>
      </c>
      <c r="D12" s="57">
        <v>3</v>
      </c>
      <c r="E12" s="58" t="s">
        <v>31</v>
      </c>
      <c r="F12" s="98"/>
    </row>
    <row r="13" spans="1:6" ht="85.5" customHeight="1" x14ac:dyDescent="0.3">
      <c r="A13" s="91" t="s">
        <v>452</v>
      </c>
      <c r="B13" s="128" t="s">
        <v>453</v>
      </c>
      <c r="C13" s="128" t="s">
        <v>454</v>
      </c>
      <c r="D13" s="57">
        <v>3</v>
      </c>
      <c r="E13" s="58" t="s">
        <v>31</v>
      </c>
      <c r="F13" s="98"/>
    </row>
    <row r="14" spans="1:6" ht="174" customHeight="1" x14ac:dyDescent="0.3">
      <c r="A14" s="91" t="s">
        <v>455</v>
      </c>
      <c r="B14" s="84" t="s">
        <v>456</v>
      </c>
      <c r="C14" s="84" t="s">
        <v>457</v>
      </c>
      <c r="D14" s="57">
        <v>3</v>
      </c>
      <c r="E14" s="58" t="s">
        <v>31</v>
      </c>
      <c r="F14" s="98"/>
    </row>
    <row r="15" spans="1:6" ht="63.6" customHeight="1" x14ac:dyDescent="0.3">
      <c r="A15" s="91" t="s">
        <v>458</v>
      </c>
      <c r="B15" s="128" t="s">
        <v>459</v>
      </c>
      <c r="C15" s="129" t="s">
        <v>460</v>
      </c>
      <c r="D15" s="57">
        <v>3</v>
      </c>
      <c r="E15" s="58" t="s">
        <v>31</v>
      </c>
      <c r="F15" s="130"/>
    </row>
    <row r="16" spans="1:6" ht="44.25" customHeight="1" x14ac:dyDescent="0.3">
      <c r="A16" s="91" t="s">
        <v>461</v>
      </c>
      <c r="B16" s="128" t="s">
        <v>462</v>
      </c>
      <c r="C16" s="128" t="s">
        <v>463</v>
      </c>
      <c r="D16" s="57">
        <v>3</v>
      </c>
      <c r="E16" s="58" t="s">
        <v>31</v>
      </c>
      <c r="F16" s="131"/>
    </row>
    <row r="17" spans="1:6" ht="121.5" customHeight="1" x14ac:dyDescent="0.3">
      <c r="A17" s="91" t="s">
        <v>464</v>
      </c>
      <c r="B17" s="128" t="s">
        <v>465</v>
      </c>
      <c r="C17" s="128" t="s">
        <v>466</v>
      </c>
      <c r="D17" s="57">
        <v>3</v>
      </c>
      <c r="E17" s="58" t="s">
        <v>31</v>
      </c>
      <c r="F17" s="131"/>
    </row>
    <row r="18" spans="1:6" ht="109.5" customHeight="1" x14ac:dyDescent="0.3">
      <c r="A18" s="91" t="s">
        <v>467</v>
      </c>
      <c r="B18" s="128" t="s">
        <v>468</v>
      </c>
      <c r="C18" s="128" t="s">
        <v>469</v>
      </c>
      <c r="D18" s="57">
        <v>3</v>
      </c>
      <c r="E18" s="58" t="s">
        <v>31</v>
      </c>
      <c r="F18" s="131"/>
    </row>
    <row r="19" spans="1:6" ht="88.5" customHeight="1" x14ac:dyDescent="0.3">
      <c r="A19" s="91" t="s">
        <v>470</v>
      </c>
      <c r="B19" s="128" t="s">
        <v>471</v>
      </c>
      <c r="C19" s="128" t="s">
        <v>472</v>
      </c>
      <c r="D19" s="57">
        <v>3</v>
      </c>
      <c r="E19" s="58" t="s">
        <v>31</v>
      </c>
      <c r="F19" s="131"/>
    </row>
    <row r="20" spans="1:6" ht="68.25" customHeight="1" x14ac:dyDescent="0.3">
      <c r="A20" s="91" t="s">
        <v>473</v>
      </c>
      <c r="B20" s="128" t="s">
        <v>474</v>
      </c>
      <c r="C20" s="128" t="s">
        <v>475</v>
      </c>
      <c r="D20" s="57">
        <v>3</v>
      </c>
      <c r="E20" s="58" t="s">
        <v>31</v>
      </c>
      <c r="F20" s="131"/>
    </row>
    <row r="21" spans="1:6" ht="75" customHeight="1" x14ac:dyDescent="0.3">
      <c r="A21" s="91" t="s">
        <v>476</v>
      </c>
      <c r="B21" s="128" t="s">
        <v>477</v>
      </c>
      <c r="C21" s="128" t="s">
        <v>478</v>
      </c>
      <c r="D21" s="57">
        <v>3</v>
      </c>
      <c r="E21" s="58" t="s">
        <v>31</v>
      </c>
      <c r="F21" s="131"/>
    </row>
    <row r="22" spans="1:6" ht="84" customHeight="1" x14ac:dyDescent="0.3">
      <c r="A22" s="91" t="s">
        <v>479</v>
      </c>
      <c r="B22" s="128" t="s">
        <v>480</v>
      </c>
      <c r="C22" s="128" t="s">
        <v>481</v>
      </c>
      <c r="D22" s="57">
        <v>3</v>
      </c>
      <c r="E22" s="58" t="s">
        <v>31</v>
      </c>
      <c r="F22" s="113"/>
    </row>
    <row r="23" spans="1:6" ht="89.25" customHeight="1" x14ac:dyDescent="0.3">
      <c r="A23" s="91" t="s">
        <v>482</v>
      </c>
      <c r="B23" s="128" t="s">
        <v>483</v>
      </c>
      <c r="C23" s="128" t="s">
        <v>484</v>
      </c>
      <c r="D23" s="57">
        <v>3</v>
      </c>
      <c r="E23" s="58" t="s">
        <v>31</v>
      </c>
      <c r="F23" s="131"/>
    </row>
    <row r="24" spans="1:6" ht="66.75" customHeight="1" x14ac:dyDescent="0.3">
      <c r="A24" s="91" t="s">
        <v>485</v>
      </c>
      <c r="B24" s="128" t="s">
        <v>486</v>
      </c>
      <c r="C24" s="128" t="s">
        <v>487</v>
      </c>
      <c r="D24" s="57">
        <v>3</v>
      </c>
      <c r="E24" s="58" t="s">
        <v>31</v>
      </c>
      <c r="F24" s="131"/>
    </row>
    <row r="25" spans="1:6" ht="71.25" customHeight="1" x14ac:dyDescent="0.3">
      <c r="A25" s="91" t="s">
        <v>488</v>
      </c>
      <c r="B25" s="128" t="s">
        <v>489</v>
      </c>
      <c r="C25" s="128" t="s">
        <v>490</v>
      </c>
      <c r="D25" s="57">
        <v>3</v>
      </c>
      <c r="E25" s="58" t="s">
        <v>31</v>
      </c>
      <c r="F25" s="113"/>
    </row>
    <row r="26" spans="1:6" ht="102" x14ac:dyDescent="0.3">
      <c r="A26" s="91" t="s">
        <v>491</v>
      </c>
      <c r="B26" s="128" t="s">
        <v>492</v>
      </c>
      <c r="C26" s="128" t="s">
        <v>493</v>
      </c>
      <c r="D26" s="57">
        <v>3</v>
      </c>
      <c r="E26" s="58" t="s">
        <v>31</v>
      </c>
      <c r="F26" s="113"/>
    </row>
    <row r="27" spans="1:6" ht="111" customHeight="1" thickBot="1" x14ac:dyDescent="0.35">
      <c r="A27" s="116" t="s">
        <v>494</v>
      </c>
      <c r="B27" s="132" t="s">
        <v>495</v>
      </c>
      <c r="C27" s="132" t="s">
        <v>496</v>
      </c>
      <c r="D27" s="73">
        <v>3</v>
      </c>
      <c r="E27" s="74" t="s">
        <v>31</v>
      </c>
      <c r="F27" s="133"/>
    </row>
  </sheetData>
  <autoFilter ref="A3:F3" xr:uid="{00000000-0001-0000-0800-000000000000}"/>
  <mergeCells count="1">
    <mergeCell ref="A1:F2"/>
  </mergeCells>
  <phoneticPr fontId="12" type="noConversion"/>
  <conditionalFormatting sqref="A3">
    <cfRule type="duplicateValues" dxfId="323" priority="26"/>
  </conditionalFormatting>
  <conditionalFormatting sqref="A4">
    <cfRule type="duplicateValues" dxfId="322" priority="22"/>
  </conditionalFormatting>
  <conditionalFormatting sqref="A5:A27">
    <cfRule type="duplicateValues" dxfId="321" priority="155"/>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7170"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7170"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8" stopIfTrue="1" operator="equal" id="{27CDF3CC-3086-471B-9112-E088358139C5}">
            <xm:f>Critério!$B$10</xm:f>
            <x14:dxf>
              <fill>
                <patternFill>
                  <bgColor rgb="FF0070C0"/>
                </patternFill>
              </fill>
            </x14:dxf>
          </x14:cfRule>
          <x14:cfRule type="cellIs" priority="9" stopIfTrue="1" operator="equal" id="{A723866D-7B91-4B2F-9AFE-E0ED6BA4067A}">
            <xm:f>Critério!$B$9</xm:f>
            <x14:dxf>
              <fill>
                <patternFill>
                  <bgColor rgb="FF00FF00"/>
                </patternFill>
              </fill>
            </x14:dxf>
          </x14:cfRule>
          <x14:cfRule type="cellIs" priority="10" stopIfTrue="1" operator="equal" id="{C34050E1-8C87-4E8A-AA24-6B1E8F448DB0}">
            <xm:f>Critério!$B$8</xm:f>
            <x14:dxf>
              <fill>
                <patternFill>
                  <bgColor rgb="FFFFFF00"/>
                </patternFill>
              </fill>
            </x14:dxf>
          </x14:cfRule>
          <x14:cfRule type="cellIs" priority="11" stopIfTrue="1" operator="equal" id="{C6D2D17A-4EEF-4889-A84A-A626358BB8CE}">
            <xm:f>Critério!$B$7</xm:f>
            <x14:dxf>
              <fill>
                <patternFill>
                  <bgColor rgb="FFFF0000"/>
                </patternFill>
              </fill>
            </x14:dxf>
          </x14:cfRule>
          <x14:cfRule type="cellIs" priority="12" stopIfTrue="1" operator="equal" id="{97AA78D6-97EF-4FEE-9A4F-2F187A8B710B}">
            <xm:f>Critério!$B$6</xm:f>
            <x14:dxf>
              <fill>
                <patternFill>
                  <bgColor rgb="FFC00000"/>
                </patternFill>
              </fill>
            </x14:dxf>
          </x14:cfRule>
          <x14:cfRule type="cellIs" priority="13" stopIfTrue="1" operator="equal" id="{22F6D0B8-8FC9-4B6F-8158-5A3A9D44F1F7}">
            <xm:f>Critério!$B$5</xm:f>
            <x14:dxf>
              <fill>
                <patternFill>
                  <bgColor rgb="FFFFC000"/>
                </patternFill>
              </fill>
            </x14:dxf>
          </x14:cfRule>
          <xm:sqref>D5:D27</xm:sqref>
        </x14:conditionalFormatting>
        <x14:conditionalFormatting xmlns:xm="http://schemas.microsoft.com/office/excel/2006/main">
          <x14:cfRule type="cellIs" priority="1" operator="equal" id="{0135C15F-5F38-4C40-8153-1429536C045E}">
            <xm:f>Critério!$B$14</xm:f>
            <x14:dxf>
              <fill>
                <patternFill>
                  <bgColor rgb="FFFFC000"/>
                </patternFill>
              </fill>
            </x14:dxf>
          </x14:cfRule>
          <x14:cfRule type="cellIs" priority="2" operator="equal" id="{00550793-D1B0-4293-891E-F0CFC7C0F62A}">
            <xm:f>Critério!$B$15</xm:f>
            <x14:dxf>
              <fill>
                <patternFill>
                  <bgColor rgb="FFC00000"/>
                </patternFill>
              </fill>
            </x14:dxf>
          </x14:cfRule>
          <x14:cfRule type="cellIs" priority="3" operator="equal" id="{40588D72-2783-4D0F-93CB-E1AA4F69DEA5}">
            <xm:f>Critério!$B$16</xm:f>
            <x14:dxf>
              <fill>
                <patternFill>
                  <bgColor rgb="FFFF0000"/>
                </patternFill>
              </fill>
            </x14:dxf>
          </x14:cfRule>
          <x14:cfRule type="cellIs" priority="4" operator="equal" id="{F85B9E60-2806-4CC3-A48F-A01ED377999E}">
            <xm:f>Critério!$B$17</xm:f>
            <x14:dxf>
              <fill>
                <patternFill>
                  <bgColor theme="9" tint="-0.24994659260841701"/>
                </patternFill>
              </fill>
            </x14:dxf>
          </x14:cfRule>
          <x14:cfRule type="cellIs" priority="5" operator="equal" id="{AA369116-3CA8-42D0-9738-225CE8403E03}">
            <xm:f>Critério!$B$18</xm:f>
            <x14:dxf>
              <fill>
                <patternFill>
                  <bgColor rgb="FFFFFF00"/>
                </patternFill>
              </fill>
            </x14:dxf>
          </x14:cfRule>
          <x14:cfRule type="cellIs" priority="6" operator="equal" id="{A47F1D22-A743-4F8E-9DCD-E9E287E9A450}">
            <xm:f>Critério!$B$19</xm:f>
            <x14:dxf>
              <fill>
                <patternFill>
                  <bgColor rgb="FF00FF00"/>
                </patternFill>
              </fill>
            </x14:dxf>
          </x14:cfRule>
          <x14:cfRule type="cellIs" priority="7" operator="equal" id="{B1D5F5D3-5EEA-4F8F-BBDD-A54210869913}">
            <xm:f>Critério!$B$20</xm:f>
            <x14:dxf>
              <fill>
                <patternFill>
                  <bgColor rgb="FF0070C0"/>
                </patternFill>
              </fill>
            </x14:dxf>
          </x14:cfRule>
          <xm:sqref>E5:E27</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963533D6-93B9-4DF2-B06D-6B44F61A990B}">
          <x14:formula1>
            <xm:f>Critério!$B$14:$B$20</xm:f>
          </x14:formula1>
          <xm:sqref>E5:E27</xm:sqref>
        </x14:dataValidation>
        <x14:dataValidation type="list" allowBlank="1" showInputMessage="1" showErrorMessage="1" xr:uid="{0FDEE8E4-F838-4DC1-8CF8-99E06F269D4F}">
          <x14:formula1>
            <xm:f>Critério!$B$5:$B$10</xm:f>
          </x14:formula1>
          <xm:sqref>D5:D27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8"/>
  <sheetViews>
    <sheetView showGridLines="0" zoomScaleNormal="100" workbookViewId="0">
      <selection activeCell="H3" sqref="H1:J1048576"/>
    </sheetView>
  </sheetViews>
  <sheetFormatPr defaultColWidth="15.8867187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497</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107" t="e">
        <f>D4</f>
        <v>#REF!</v>
      </c>
      <c r="E3" s="60" t="s">
        <v>52</v>
      </c>
      <c r="F3" s="62" t="s">
        <v>53</v>
      </c>
    </row>
    <row r="4" spans="1:6" x14ac:dyDescent="0.3">
      <c r="A4" s="63" t="s">
        <v>498</v>
      </c>
      <c r="B4" s="54"/>
      <c r="C4" s="54"/>
      <c r="D4" s="55" t="e">
        <f>IF(#REF!=COUNTA(A5:A18),Critério!$B$5,SUMPRODUCT(#REF!,#REF!)/SUM(#REF!))</f>
        <v>#REF!</v>
      </c>
      <c r="E4" s="54"/>
      <c r="F4" s="120"/>
    </row>
    <row r="5" spans="1:6" ht="215.25" customHeight="1" x14ac:dyDescent="0.3">
      <c r="A5" s="68" t="s">
        <v>499</v>
      </c>
      <c r="B5" s="56" t="s">
        <v>500</v>
      </c>
      <c r="C5" s="96" t="s">
        <v>501</v>
      </c>
      <c r="D5" s="57">
        <v>3</v>
      </c>
      <c r="E5" s="58" t="s">
        <v>31</v>
      </c>
      <c r="F5" s="122"/>
    </row>
    <row r="6" spans="1:6" ht="40.799999999999997" x14ac:dyDescent="0.3">
      <c r="A6" s="68" t="s">
        <v>502</v>
      </c>
      <c r="B6" s="56" t="s">
        <v>503</v>
      </c>
      <c r="C6" s="96" t="s">
        <v>504</v>
      </c>
      <c r="D6" s="57">
        <v>3</v>
      </c>
      <c r="E6" s="58" t="s">
        <v>31</v>
      </c>
      <c r="F6" s="122"/>
    </row>
    <row r="7" spans="1:6" ht="64.5" customHeight="1" x14ac:dyDescent="0.3">
      <c r="A7" s="68" t="s">
        <v>505</v>
      </c>
      <c r="B7" s="76" t="s">
        <v>506</v>
      </c>
      <c r="C7" s="96" t="s">
        <v>507</v>
      </c>
      <c r="D7" s="57">
        <v>3</v>
      </c>
      <c r="E7" s="58" t="s">
        <v>31</v>
      </c>
      <c r="F7" s="122"/>
    </row>
    <row r="8" spans="1:6" ht="63.75" customHeight="1" x14ac:dyDescent="0.3">
      <c r="A8" s="68" t="s">
        <v>508</v>
      </c>
      <c r="B8" s="76" t="s">
        <v>509</v>
      </c>
      <c r="C8" s="96" t="s">
        <v>510</v>
      </c>
      <c r="D8" s="57">
        <v>3</v>
      </c>
      <c r="E8" s="58" t="s">
        <v>31</v>
      </c>
      <c r="F8" s="125"/>
    </row>
    <row r="9" spans="1:6" ht="177" customHeight="1" x14ac:dyDescent="0.3">
      <c r="A9" s="68" t="s">
        <v>511</v>
      </c>
      <c r="B9" s="56" t="s">
        <v>512</v>
      </c>
      <c r="C9" s="56" t="s">
        <v>513</v>
      </c>
      <c r="D9" s="57">
        <v>3</v>
      </c>
      <c r="E9" s="58" t="s">
        <v>31</v>
      </c>
      <c r="F9" s="122"/>
    </row>
    <row r="10" spans="1:6" ht="54.9" customHeight="1" x14ac:dyDescent="0.3">
      <c r="A10" s="68" t="s">
        <v>514</v>
      </c>
      <c r="B10" s="76" t="s">
        <v>515</v>
      </c>
      <c r="C10" s="56" t="s">
        <v>516</v>
      </c>
      <c r="D10" s="57">
        <v>3</v>
      </c>
      <c r="E10" s="58" t="s">
        <v>31</v>
      </c>
      <c r="F10" s="122"/>
    </row>
    <row r="11" spans="1:6" ht="87" customHeight="1" x14ac:dyDescent="0.3">
      <c r="A11" s="68" t="s">
        <v>517</v>
      </c>
      <c r="B11" s="76" t="s">
        <v>518</v>
      </c>
      <c r="C11" s="96" t="s">
        <v>519</v>
      </c>
      <c r="D11" s="57">
        <v>3</v>
      </c>
      <c r="E11" s="58" t="s">
        <v>31</v>
      </c>
      <c r="F11" s="99"/>
    </row>
    <row r="12" spans="1:6" ht="84.9" customHeight="1" x14ac:dyDescent="0.3">
      <c r="A12" s="68" t="s">
        <v>520</v>
      </c>
      <c r="B12" s="56" t="s">
        <v>521</v>
      </c>
      <c r="C12" s="96" t="s">
        <v>522</v>
      </c>
      <c r="D12" s="57">
        <v>3</v>
      </c>
      <c r="E12" s="58" t="s">
        <v>31</v>
      </c>
      <c r="F12" s="125"/>
    </row>
    <row r="13" spans="1:6" ht="75" customHeight="1" x14ac:dyDescent="0.3">
      <c r="A13" s="68" t="s">
        <v>523</v>
      </c>
      <c r="B13" s="76" t="s">
        <v>524</v>
      </c>
      <c r="C13" s="124" t="s">
        <v>525</v>
      </c>
      <c r="D13" s="57">
        <v>3</v>
      </c>
      <c r="E13" s="58" t="s">
        <v>31</v>
      </c>
      <c r="F13" s="122"/>
    </row>
    <row r="14" spans="1:6" ht="37.5" customHeight="1" x14ac:dyDescent="0.3">
      <c r="A14" s="68" t="s">
        <v>526</v>
      </c>
      <c r="B14" s="56" t="s">
        <v>527</v>
      </c>
      <c r="C14" s="96" t="s">
        <v>528</v>
      </c>
      <c r="D14" s="57">
        <v>3</v>
      </c>
      <c r="E14" s="58" t="s">
        <v>31</v>
      </c>
      <c r="F14" s="125"/>
    </row>
    <row r="15" spans="1:6" ht="76.5" customHeight="1" x14ac:dyDescent="0.3">
      <c r="A15" s="68" t="s">
        <v>529</v>
      </c>
      <c r="B15" s="76" t="s">
        <v>530</v>
      </c>
      <c r="C15" s="124" t="s">
        <v>531</v>
      </c>
      <c r="D15" s="57">
        <v>3</v>
      </c>
      <c r="E15" s="58" t="s">
        <v>31</v>
      </c>
      <c r="F15" s="126"/>
    </row>
    <row r="16" spans="1:6" ht="47.25" customHeight="1" x14ac:dyDescent="0.3">
      <c r="A16" s="68" t="s">
        <v>532</v>
      </c>
      <c r="B16" s="56" t="s">
        <v>533</v>
      </c>
      <c r="C16" s="96" t="s">
        <v>534</v>
      </c>
      <c r="D16" s="57">
        <v>3</v>
      </c>
      <c r="E16" s="58" t="s">
        <v>31</v>
      </c>
      <c r="F16" s="122"/>
    </row>
    <row r="17" spans="1:6" ht="91.5" customHeight="1" x14ac:dyDescent="0.3">
      <c r="A17" s="68" t="s">
        <v>535</v>
      </c>
      <c r="B17" s="56" t="s">
        <v>536</v>
      </c>
      <c r="C17" s="96" t="s">
        <v>537</v>
      </c>
      <c r="D17" s="57">
        <v>3</v>
      </c>
      <c r="E17" s="58" t="s">
        <v>31</v>
      </c>
      <c r="F17" s="122"/>
    </row>
    <row r="18" spans="1:6" ht="86.4" customHeight="1" thickBot="1" x14ac:dyDescent="0.35">
      <c r="A18" s="100" t="s">
        <v>538</v>
      </c>
      <c r="B18" s="81" t="s">
        <v>539</v>
      </c>
      <c r="C18" s="127" t="s">
        <v>540</v>
      </c>
      <c r="D18" s="73">
        <v>3</v>
      </c>
      <c r="E18" s="74" t="s">
        <v>31</v>
      </c>
      <c r="F18" s="123"/>
    </row>
  </sheetData>
  <autoFilter ref="A3:F3" xr:uid="{00000000-0001-0000-0900-000000000000}"/>
  <mergeCells count="1">
    <mergeCell ref="A1:F2"/>
  </mergeCells>
  <phoneticPr fontId="12" type="noConversion"/>
  <conditionalFormatting sqref="A3">
    <cfRule type="duplicateValues" dxfId="307" priority="17"/>
  </conditionalFormatting>
  <conditionalFormatting sqref="A4">
    <cfRule type="duplicateValues" dxfId="306" priority="15"/>
  </conditionalFormatting>
  <conditionalFormatting sqref="A5:A18">
    <cfRule type="duplicateValues" dxfId="305" priority="16"/>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8194"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8194"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8" stopIfTrue="1" operator="equal" id="{E17DFB9E-A8DB-4284-AA8D-54656840E5FF}">
            <xm:f>Critério!$B$10</xm:f>
            <x14:dxf>
              <fill>
                <patternFill>
                  <bgColor rgb="FF0070C0"/>
                </patternFill>
              </fill>
            </x14:dxf>
          </x14:cfRule>
          <x14:cfRule type="cellIs" priority="9" stopIfTrue="1" operator="equal" id="{E246B598-6E5F-4555-ACFE-96648DFE0742}">
            <xm:f>Critério!$B$9</xm:f>
            <x14:dxf>
              <fill>
                <patternFill>
                  <bgColor rgb="FF00FF00"/>
                </patternFill>
              </fill>
            </x14:dxf>
          </x14:cfRule>
          <x14:cfRule type="cellIs" priority="10" stopIfTrue="1" operator="equal" id="{2D4E094A-3297-4586-A555-5D3A15FAEFE7}">
            <xm:f>Critério!$B$8</xm:f>
            <x14:dxf>
              <fill>
                <patternFill>
                  <bgColor rgb="FFFFFF00"/>
                </patternFill>
              </fill>
            </x14:dxf>
          </x14:cfRule>
          <x14:cfRule type="cellIs" priority="11" stopIfTrue="1" operator="equal" id="{62085A16-7B65-4B10-B788-E01FD25FA05B}">
            <xm:f>Critério!$B$7</xm:f>
            <x14:dxf>
              <fill>
                <patternFill>
                  <bgColor rgb="FFFF0000"/>
                </patternFill>
              </fill>
            </x14:dxf>
          </x14:cfRule>
          <x14:cfRule type="cellIs" priority="12" stopIfTrue="1" operator="equal" id="{4576FBEC-D03F-4D83-8AF2-EE0CFF8B8389}">
            <xm:f>Critério!$B$6</xm:f>
            <x14:dxf>
              <fill>
                <patternFill>
                  <bgColor rgb="FFC00000"/>
                </patternFill>
              </fill>
            </x14:dxf>
          </x14:cfRule>
          <x14:cfRule type="cellIs" priority="13" stopIfTrue="1" operator="equal" id="{6F433944-A665-4757-BFD4-9FFDDAE0248B}">
            <xm:f>Critério!$B$5</xm:f>
            <x14:dxf>
              <fill>
                <patternFill>
                  <bgColor rgb="FFFFC000"/>
                </patternFill>
              </fill>
            </x14:dxf>
          </x14:cfRule>
          <xm:sqref>D5:D18</xm:sqref>
        </x14:conditionalFormatting>
        <x14:conditionalFormatting xmlns:xm="http://schemas.microsoft.com/office/excel/2006/main">
          <x14:cfRule type="cellIs" priority="1" operator="equal" id="{1B0AA0B0-B0B5-4A6E-9C90-B112A388151A}">
            <xm:f>Critério!$B$14</xm:f>
            <x14:dxf>
              <fill>
                <patternFill>
                  <bgColor rgb="FFFFC000"/>
                </patternFill>
              </fill>
            </x14:dxf>
          </x14:cfRule>
          <x14:cfRule type="cellIs" priority="2" operator="equal" id="{12955128-10EE-4FC4-B5FA-D32DFBA09EC8}">
            <xm:f>Critério!$B$15</xm:f>
            <x14:dxf>
              <fill>
                <patternFill>
                  <bgColor rgb="FFC00000"/>
                </patternFill>
              </fill>
            </x14:dxf>
          </x14:cfRule>
          <x14:cfRule type="cellIs" priority="3" operator="equal" id="{7257AC15-0744-4B98-BED9-8043FCD41C19}">
            <xm:f>Critério!$B$16</xm:f>
            <x14:dxf>
              <fill>
                <patternFill>
                  <bgColor rgb="FFFF0000"/>
                </patternFill>
              </fill>
            </x14:dxf>
          </x14:cfRule>
          <x14:cfRule type="cellIs" priority="4" operator="equal" id="{CFE1CB22-C5AF-4DFE-B143-13E5029046DB}">
            <xm:f>Critério!$B$17</xm:f>
            <x14:dxf>
              <fill>
                <patternFill>
                  <bgColor theme="9" tint="-0.24994659260841701"/>
                </patternFill>
              </fill>
            </x14:dxf>
          </x14:cfRule>
          <x14:cfRule type="cellIs" priority="5" operator="equal" id="{38863092-5D8A-448E-BD21-B06DE9F7B018}">
            <xm:f>Critério!$B$18</xm:f>
            <x14:dxf>
              <fill>
                <patternFill>
                  <bgColor rgb="FFFFFF00"/>
                </patternFill>
              </fill>
            </x14:dxf>
          </x14:cfRule>
          <x14:cfRule type="cellIs" priority="6" operator="equal" id="{771491E0-9894-4F43-88B3-7546CCB85F4E}">
            <xm:f>Critério!$B$19</xm:f>
            <x14:dxf>
              <fill>
                <patternFill>
                  <bgColor rgb="FF00FF00"/>
                </patternFill>
              </fill>
            </x14:dxf>
          </x14:cfRule>
          <x14:cfRule type="cellIs" priority="7" operator="equal" id="{28DF1079-1035-44A1-9A90-5BAECFDAEA15}">
            <xm:f>Critério!$B$20</xm:f>
            <x14:dxf>
              <fill>
                <patternFill>
                  <bgColor rgb="FF0070C0"/>
                </patternFill>
              </fill>
            </x14:dxf>
          </x14:cfRule>
          <xm:sqref>E5:E18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984F959-9AAF-41E3-84B8-D5D8D2A9BB98}">
          <x14:formula1>
            <xm:f>Critério!$B$5:$B$10</xm:f>
          </x14:formula1>
          <xm:sqref>D5:D18</xm:sqref>
        </x14:dataValidation>
        <x14:dataValidation type="list" allowBlank="1" showInputMessage="1" showErrorMessage="1" xr:uid="{698011BB-00FB-4052-95A5-C762190BD782}">
          <x14:formula1>
            <xm:f>Critério!$B$14:$B$20</xm:f>
          </x14:formula1>
          <xm:sqref>E5:E18</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15"/>
  <sheetViews>
    <sheetView showGridLines="0" zoomScaleNormal="100" workbookViewId="0">
      <selection activeCell="H3" sqref="H1:J1048576"/>
    </sheetView>
  </sheetViews>
  <sheetFormatPr defaultColWidth="16.4414062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541</v>
      </c>
      <c r="B1" s="253"/>
      <c r="C1" s="253"/>
      <c r="D1" s="253"/>
      <c r="E1" s="253"/>
      <c r="F1" s="253"/>
    </row>
    <row r="2" spans="1:6" ht="15" thickBot="1" x14ac:dyDescent="0.35">
      <c r="A2" s="253"/>
      <c r="B2" s="253"/>
      <c r="C2" s="253"/>
      <c r="D2" s="253"/>
      <c r="E2" s="253"/>
      <c r="F2" s="253"/>
    </row>
    <row r="3" spans="1:6" ht="50.1" customHeight="1" x14ac:dyDescent="0.3">
      <c r="A3" s="59" t="s">
        <v>49</v>
      </c>
      <c r="B3" s="60" t="s">
        <v>50</v>
      </c>
      <c r="C3" s="60" t="s">
        <v>51</v>
      </c>
      <c r="D3" s="107" t="e">
        <f>D4</f>
        <v>#REF!</v>
      </c>
      <c r="E3" s="60" t="s">
        <v>52</v>
      </c>
      <c r="F3" s="62" t="s">
        <v>53</v>
      </c>
    </row>
    <row r="4" spans="1:6" x14ac:dyDescent="0.3">
      <c r="A4" s="63" t="s">
        <v>542</v>
      </c>
      <c r="B4" s="118"/>
      <c r="C4" s="118"/>
      <c r="D4" s="55" t="e">
        <f>IF(#REF!=COUNTA(A5:A15),Critério!$B$5,SUMPRODUCT(#REF!,#REF!)/SUM(#REF!))</f>
        <v>#REF!</v>
      </c>
      <c r="E4" s="118"/>
      <c r="F4" s="120"/>
    </row>
    <row r="5" spans="1:6" ht="66.75" customHeight="1" x14ac:dyDescent="0.3">
      <c r="A5" s="68" t="s">
        <v>543</v>
      </c>
      <c r="B5" s="56" t="s">
        <v>544</v>
      </c>
      <c r="C5" s="56" t="s">
        <v>545</v>
      </c>
      <c r="D5" s="57">
        <v>3</v>
      </c>
      <c r="E5" s="58" t="s">
        <v>31</v>
      </c>
      <c r="F5" s="121"/>
    </row>
    <row r="6" spans="1:6" ht="132.6" x14ac:dyDescent="0.3">
      <c r="A6" s="68" t="s">
        <v>546</v>
      </c>
      <c r="B6" s="56" t="s">
        <v>547</v>
      </c>
      <c r="C6" s="56" t="s">
        <v>548</v>
      </c>
      <c r="D6" s="57">
        <v>3</v>
      </c>
      <c r="E6" s="58" t="s">
        <v>31</v>
      </c>
      <c r="F6" s="121"/>
    </row>
    <row r="7" spans="1:6" ht="65.25" customHeight="1" x14ac:dyDescent="0.3">
      <c r="A7" s="68" t="s">
        <v>549</v>
      </c>
      <c r="B7" s="56" t="s">
        <v>550</v>
      </c>
      <c r="C7" s="56" t="s">
        <v>551</v>
      </c>
      <c r="D7" s="57">
        <v>3</v>
      </c>
      <c r="E7" s="58" t="s">
        <v>31</v>
      </c>
      <c r="F7" s="67"/>
    </row>
    <row r="8" spans="1:6" s="3" customFormat="1" ht="86.25" customHeight="1" x14ac:dyDescent="0.3">
      <c r="A8" s="68" t="s">
        <v>552</v>
      </c>
      <c r="B8" s="56" t="s">
        <v>553</v>
      </c>
      <c r="C8" s="56" t="s">
        <v>551</v>
      </c>
      <c r="D8" s="57">
        <v>3</v>
      </c>
      <c r="E8" s="58" t="s">
        <v>31</v>
      </c>
      <c r="F8" s="122"/>
    </row>
    <row r="9" spans="1:6" s="3" customFormat="1" ht="87.75" customHeight="1" x14ac:dyDescent="0.3">
      <c r="A9" s="68" t="s">
        <v>554</v>
      </c>
      <c r="B9" s="56" t="s">
        <v>555</v>
      </c>
      <c r="C9" s="56" t="s">
        <v>556</v>
      </c>
      <c r="D9" s="57">
        <v>3</v>
      </c>
      <c r="E9" s="58" t="s">
        <v>31</v>
      </c>
      <c r="F9" s="122"/>
    </row>
    <row r="10" spans="1:6" s="3" customFormat="1" ht="41.4" customHeight="1" x14ac:dyDescent="0.3">
      <c r="A10" s="68" t="s">
        <v>557</v>
      </c>
      <c r="B10" s="56" t="s">
        <v>558</v>
      </c>
      <c r="C10" s="56" t="s">
        <v>559</v>
      </c>
      <c r="D10" s="57">
        <v>3</v>
      </c>
      <c r="E10" s="58" t="s">
        <v>31</v>
      </c>
      <c r="F10" s="122"/>
    </row>
    <row r="11" spans="1:6" s="3" customFormat="1" ht="121.5" customHeight="1" x14ac:dyDescent="0.3">
      <c r="A11" s="68" t="s">
        <v>560</v>
      </c>
      <c r="B11" s="56" t="s">
        <v>561</v>
      </c>
      <c r="C11" s="56" t="s">
        <v>562</v>
      </c>
      <c r="D11" s="57">
        <v>3</v>
      </c>
      <c r="E11" s="58" t="s">
        <v>31</v>
      </c>
      <c r="F11" s="122"/>
    </row>
    <row r="12" spans="1:6" ht="51" customHeight="1" x14ac:dyDescent="0.3">
      <c r="A12" s="68" t="s">
        <v>563</v>
      </c>
      <c r="B12" s="56" t="s">
        <v>564</v>
      </c>
      <c r="C12" s="56" t="s">
        <v>565</v>
      </c>
      <c r="D12" s="57">
        <v>3</v>
      </c>
      <c r="E12" s="58" t="s">
        <v>31</v>
      </c>
      <c r="F12" s="67"/>
    </row>
    <row r="13" spans="1:6" ht="95.4" customHeight="1" x14ac:dyDescent="0.3">
      <c r="A13" s="68" t="s">
        <v>566</v>
      </c>
      <c r="B13" s="56" t="s">
        <v>567</v>
      </c>
      <c r="C13" s="56" t="s">
        <v>568</v>
      </c>
      <c r="D13" s="57">
        <v>3</v>
      </c>
      <c r="E13" s="58" t="s">
        <v>31</v>
      </c>
      <c r="F13" s="122"/>
    </row>
    <row r="14" spans="1:6" ht="164.25" customHeight="1" x14ac:dyDescent="0.3">
      <c r="A14" s="68" t="s">
        <v>569</v>
      </c>
      <c r="B14" s="56" t="s">
        <v>570</v>
      </c>
      <c r="C14" s="56" t="s">
        <v>571</v>
      </c>
      <c r="D14" s="57">
        <v>3</v>
      </c>
      <c r="E14" s="58" t="s">
        <v>31</v>
      </c>
      <c r="F14" s="122"/>
    </row>
    <row r="15" spans="1:6" ht="110.25" customHeight="1" thickBot="1" x14ac:dyDescent="0.35">
      <c r="A15" s="100" t="s">
        <v>572</v>
      </c>
      <c r="B15" s="72" t="s">
        <v>573</v>
      </c>
      <c r="C15" s="72" t="s">
        <v>574</v>
      </c>
      <c r="D15" s="73">
        <v>3</v>
      </c>
      <c r="E15" s="74" t="s">
        <v>31</v>
      </c>
      <c r="F15" s="123"/>
    </row>
  </sheetData>
  <autoFilter ref="A3:F3" xr:uid="{00000000-0001-0000-0A00-000000000000}"/>
  <mergeCells count="1">
    <mergeCell ref="A1:F2"/>
  </mergeCells>
  <phoneticPr fontId="12" type="noConversion"/>
  <conditionalFormatting sqref="A3">
    <cfRule type="duplicateValues" dxfId="291" priority="22"/>
  </conditionalFormatting>
  <conditionalFormatting sqref="A4">
    <cfRule type="duplicateValues" dxfId="290" priority="18"/>
  </conditionalFormatting>
  <conditionalFormatting sqref="A5:A15">
    <cfRule type="duplicateValues" dxfId="289" priority="21"/>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9218"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9218"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8" stopIfTrue="1" operator="equal" id="{C42F0212-AF1D-4FC4-8C8A-F7A0A166ECC8}">
            <xm:f>Critério!$B$10</xm:f>
            <x14:dxf>
              <fill>
                <patternFill>
                  <bgColor rgb="FF0070C0"/>
                </patternFill>
              </fill>
            </x14:dxf>
          </x14:cfRule>
          <x14:cfRule type="cellIs" priority="9" stopIfTrue="1" operator="equal" id="{3B376AF5-00F5-45D6-A6A1-16E7536DACCB}">
            <xm:f>Critério!$B$9</xm:f>
            <x14:dxf>
              <fill>
                <patternFill>
                  <bgColor rgb="FF00FF00"/>
                </patternFill>
              </fill>
            </x14:dxf>
          </x14:cfRule>
          <x14:cfRule type="cellIs" priority="10" stopIfTrue="1" operator="equal" id="{F1AEFAE5-6242-47C5-9790-D77ED5B054FB}">
            <xm:f>Critério!$B$8</xm:f>
            <x14:dxf>
              <fill>
                <patternFill>
                  <bgColor rgb="FFFFFF00"/>
                </patternFill>
              </fill>
            </x14:dxf>
          </x14:cfRule>
          <x14:cfRule type="cellIs" priority="11" stopIfTrue="1" operator="equal" id="{11634426-E38C-422B-947F-004A86843901}">
            <xm:f>Critério!$B$7</xm:f>
            <x14:dxf>
              <fill>
                <patternFill>
                  <bgColor rgb="FFFF0000"/>
                </patternFill>
              </fill>
            </x14:dxf>
          </x14:cfRule>
          <x14:cfRule type="cellIs" priority="12" stopIfTrue="1" operator="equal" id="{F44524EE-BE5C-40C0-B5F3-07D9FAA57F96}">
            <xm:f>Critério!$B$6</xm:f>
            <x14:dxf>
              <fill>
                <patternFill>
                  <bgColor rgb="FFC00000"/>
                </patternFill>
              </fill>
            </x14:dxf>
          </x14:cfRule>
          <x14:cfRule type="cellIs" priority="13" stopIfTrue="1" operator="equal" id="{CB879499-8200-482B-A393-86299C94761B}">
            <xm:f>Critério!$B$5</xm:f>
            <x14:dxf>
              <fill>
                <patternFill>
                  <bgColor rgb="FFFFC000"/>
                </patternFill>
              </fill>
            </x14:dxf>
          </x14:cfRule>
          <xm:sqref>D5:D15</xm:sqref>
        </x14:conditionalFormatting>
        <x14:conditionalFormatting xmlns:xm="http://schemas.microsoft.com/office/excel/2006/main">
          <x14:cfRule type="cellIs" priority="1" operator="equal" id="{BB1B78DF-3230-4D61-9385-1C95E4C23DE9}">
            <xm:f>Critério!$B$14</xm:f>
            <x14:dxf>
              <fill>
                <patternFill>
                  <bgColor rgb="FFFFC000"/>
                </patternFill>
              </fill>
            </x14:dxf>
          </x14:cfRule>
          <x14:cfRule type="cellIs" priority="2" operator="equal" id="{7EE685C6-8142-454C-BD14-A864602BBBBD}">
            <xm:f>Critério!$B$15</xm:f>
            <x14:dxf>
              <fill>
                <patternFill>
                  <bgColor rgb="FFC00000"/>
                </patternFill>
              </fill>
            </x14:dxf>
          </x14:cfRule>
          <x14:cfRule type="cellIs" priority="3" operator="equal" id="{1A33D157-02E0-4A1F-8170-3BCEB0BF2AEC}">
            <xm:f>Critério!$B$16</xm:f>
            <x14:dxf>
              <fill>
                <patternFill>
                  <bgColor rgb="FFFF0000"/>
                </patternFill>
              </fill>
            </x14:dxf>
          </x14:cfRule>
          <x14:cfRule type="cellIs" priority="4" operator="equal" id="{51CE5764-BB3E-4301-98AF-93C340EC335C}">
            <xm:f>Critério!$B$17</xm:f>
            <x14:dxf>
              <fill>
                <patternFill>
                  <bgColor theme="9" tint="-0.24994659260841701"/>
                </patternFill>
              </fill>
            </x14:dxf>
          </x14:cfRule>
          <x14:cfRule type="cellIs" priority="5" operator="equal" id="{E079E1E3-3809-448E-9499-1AD05A6368D7}">
            <xm:f>Critério!$B$18</xm:f>
            <x14:dxf>
              <fill>
                <patternFill>
                  <bgColor rgb="FFFFFF00"/>
                </patternFill>
              </fill>
            </x14:dxf>
          </x14:cfRule>
          <x14:cfRule type="cellIs" priority="6" operator="equal" id="{691FA0B9-91C5-4D0B-9ECE-443B0BB0A738}">
            <xm:f>Critério!$B$19</xm:f>
            <x14:dxf>
              <fill>
                <patternFill>
                  <bgColor rgb="FF00FF00"/>
                </patternFill>
              </fill>
            </x14:dxf>
          </x14:cfRule>
          <x14:cfRule type="cellIs" priority="7" operator="equal" id="{830F6924-00A0-4652-BD30-EE5D7501DD0B}">
            <xm:f>Critério!$B$20</xm:f>
            <x14:dxf>
              <fill>
                <patternFill>
                  <bgColor rgb="FF0070C0"/>
                </patternFill>
              </fill>
            </x14:dxf>
          </x14:cfRule>
          <xm:sqref>E5:E15</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4E3EF1D-575D-4FF8-81A8-9070E614A5A1}">
          <x14:formula1>
            <xm:f>Critério!$B$14:$B$20</xm:f>
          </x14:formula1>
          <xm:sqref>E5:E15</xm:sqref>
        </x14:dataValidation>
        <x14:dataValidation type="list" allowBlank="1" showInputMessage="1" showErrorMessage="1" xr:uid="{97633DBF-646D-44BF-BB88-EBB2FE53307F}">
          <x14:formula1>
            <xm:f>Critério!$B$5:$B$10</xm:f>
          </x14:formula1>
          <xm:sqref>D5:D15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33"/>
  <sheetViews>
    <sheetView showGridLines="0" zoomScaleNormal="100" workbookViewId="0">
      <selection activeCell="H3" sqref="H1:J1048576"/>
    </sheetView>
  </sheetViews>
  <sheetFormatPr defaultColWidth="17.10937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575</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107" t="e">
        <f>IF(#REF!=Critério!$B$5,Critério!$B$5,SUM(IF(D4=Critério!$B$5,100%,D4)*SUM(#REF!),IF(D10=Critério!$B$5,100%,D10)*SUM(#REF!),IF(D19=Critério!$B$5,100%,D19)*SUM(#REF!),IF(D25=Critério!$B$5,100%,D25)*SUM(#REF!),IF(D28=Critério!$B$5,100%,D28)*SUM(#REF!),IF(D31=Critério!$B$5,100%,D31)*SUM(#REF!)))/#REF!</f>
        <v>#REF!</v>
      </c>
      <c r="E3" s="60" t="s">
        <v>52</v>
      </c>
      <c r="F3" s="62" t="s">
        <v>53</v>
      </c>
    </row>
    <row r="4" spans="1:6" x14ac:dyDescent="0.3">
      <c r="A4" s="87" t="s">
        <v>576</v>
      </c>
      <c r="B4" s="83"/>
      <c r="C4" s="83"/>
      <c r="D4" s="55" t="e">
        <f>IF(#REF!=COUNTA(A5:A9),Critério!$B$5,SUMPRODUCT(#REF!,#REF!)/SUM(#REF!))</f>
        <v>#REF!</v>
      </c>
      <c r="E4" s="83"/>
      <c r="F4" s="108"/>
    </row>
    <row r="5" spans="1:6" ht="77.25" customHeight="1" x14ac:dyDescent="0.3">
      <c r="A5" s="91" t="s">
        <v>577</v>
      </c>
      <c r="B5" s="84" t="s">
        <v>578</v>
      </c>
      <c r="C5" s="84" t="s">
        <v>579</v>
      </c>
      <c r="D5" s="57">
        <v>3</v>
      </c>
      <c r="E5" s="58" t="s">
        <v>31</v>
      </c>
      <c r="F5" s="109"/>
    </row>
    <row r="6" spans="1:6" ht="40.799999999999997" x14ac:dyDescent="0.3">
      <c r="A6" s="91" t="s">
        <v>580</v>
      </c>
      <c r="B6" s="84" t="s">
        <v>581</v>
      </c>
      <c r="C6" s="84" t="s">
        <v>582</v>
      </c>
      <c r="D6" s="57">
        <v>3</v>
      </c>
      <c r="E6" s="58" t="s">
        <v>31</v>
      </c>
      <c r="F6" s="90"/>
    </row>
    <row r="7" spans="1:6" ht="61.2" x14ac:dyDescent="0.3">
      <c r="A7" s="91" t="s">
        <v>583</v>
      </c>
      <c r="B7" s="84" t="s">
        <v>584</v>
      </c>
      <c r="C7" s="84" t="s">
        <v>585</v>
      </c>
      <c r="D7" s="57">
        <v>3</v>
      </c>
      <c r="E7" s="58" t="s">
        <v>31</v>
      </c>
      <c r="F7" s="113"/>
    </row>
    <row r="8" spans="1:6" ht="53.25" customHeight="1" x14ac:dyDescent="0.3">
      <c r="A8" s="91" t="s">
        <v>586</v>
      </c>
      <c r="B8" s="84" t="s">
        <v>587</v>
      </c>
      <c r="C8" s="84" t="s">
        <v>588</v>
      </c>
      <c r="D8" s="57">
        <v>3</v>
      </c>
      <c r="E8" s="58" t="s">
        <v>31</v>
      </c>
      <c r="F8" s="177"/>
    </row>
    <row r="9" spans="1:6" ht="54.75" customHeight="1" x14ac:dyDescent="0.3">
      <c r="A9" s="91" t="s">
        <v>589</v>
      </c>
      <c r="B9" s="84" t="s">
        <v>590</v>
      </c>
      <c r="C9" s="84" t="s">
        <v>591</v>
      </c>
      <c r="D9" s="57">
        <v>3</v>
      </c>
      <c r="E9" s="58" t="s">
        <v>31</v>
      </c>
      <c r="F9" s="110"/>
    </row>
    <row r="10" spans="1:6" x14ac:dyDescent="0.3">
      <c r="A10" s="87" t="s">
        <v>592</v>
      </c>
      <c r="B10" s="83"/>
      <c r="C10" s="83"/>
      <c r="D10" s="55" t="e">
        <f>IF(#REF!=COUNTA(A11:A18),Critério!$B$5,SUMPRODUCT(#REF!,#REF!)/SUM(#REF!))</f>
        <v>#REF!</v>
      </c>
      <c r="E10" s="83"/>
      <c r="F10" s="111"/>
    </row>
    <row r="11" spans="1:6" ht="39.75" customHeight="1" x14ac:dyDescent="0.3">
      <c r="A11" s="91" t="s">
        <v>593</v>
      </c>
      <c r="B11" s="84" t="s">
        <v>594</v>
      </c>
      <c r="C11" s="84" t="s">
        <v>595</v>
      </c>
      <c r="D11" s="57">
        <v>3</v>
      </c>
      <c r="E11" s="58" t="s">
        <v>31</v>
      </c>
      <c r="F11" s="110"/>
    </row>
    <row r="12" spans="1:6" ht="41.25" customHeight="1" x14ac:dyDescent="0.3">
      <c r="A12" s="91" t="s">
        <v>596</v>
      </c>
      <c r="B12" s="84" t="s">
        <v>597</v>
      </c>
      <c r="C12" s="84" t="s">
        <v>598</v>
      </c>
      <c r="D12" s="57">
        <v>3</v>
      </c>
      <c r="E12" s="58" t="s">
        <v>31</v>
      </c>
      <c r="F12" s="112"/>
    </row>
    <row r="13" spans="1:6" ht="61.2" x14ac:dyDescent="0.3">
      <c r="A13" s="91" t="s">
        <v>599</v>
      </c>
      <c r="B13" s="84" t="s">
        <v>600</v>
      </c>
      <c r="C13" s="84" t="s">
        <v>595</v>
      </c>
      <c r="D13" s="57">
        <v>3</v>
      </c>
      <c r="E13" s="58" t="s">
        <v>31</v>
      </c>
      <c r="F13" s="178"/>
    </row>
    <row r="14" spans="1:6" ht="61.2" x14ac:dyDescent="0.3">
      <c r="A14" s="91" t="s">
        <v>601</v>
      </c>
      <c r="B14" s="84" t="s">
        <v>602</v>
      </c>
      <c r="C14" s="84" t="s">
        <v>595</v>
      </c>
      <c r="D14" s="57">
        <v>3</v>
      </c>
      <c r="E14" s="58" t="s">
        <v>31</v>
      </c>
      <c r="F14" s="113"/>
    </row>
    <row r="15" spans="1:6" ht="51" x14ac:dyDescent="0.3">
      <c r="A15" s="91" t="s">
        <v>603</v>
      </c>
      <c r="B15" s="84" t="s">
        <v>604</v>
      </c>
      <c r="C15" s="84" t="s">
        <v>605</v>
      </c>
      <c r="D15" s="57">
        <v>3</v>
      </c>
      <c r="E15" s="58" t="s">
        <v>31</v>
      </c>
      <c r="F15" s="113"/>
    </row>
    <row r="16" spans="1:6" ht="51" x14ac:dyDescent="0.3">
      <c r="A16" s="91" t="s">
        <v>606</v>
      </c>
      <c r="B16" s="84" t="s">
        <v>607</v>
      </c>
      <c r="C16" s="84" t="s">
        <v>605</v>
      </c>
      <c r="D16" s="57">
        <v>3</v>
      </c>
      <c r="E16" s="58" t="s">
        <v>31</v>
      </c>
      <c r="F16" s="178"/>
    </row>
    <row r="17" spans="1:7" ht="40.799999999999997" x14ac:dyDescent="0.3">
      <c r="A17" s="91" t="s">
        <v>608</v>
      </c>
      <c r="B17" s="84" t="s">
        <v>609</v>
      </c>
      <c r="C17" s="84" t="s">
        <v>605</v>
      </c>
      <c r="D17" s="57">
        <v>3</v>
      </c>
      <c r="E17" s="58" t="s">
        <v>31</v>
      </c>
      <c r="F17" s="113"/>
    </row>
    <row r="18" spans="1:7" ht="40.799999999999997" x14ac:dyDescent="0.3">
      <c r="A18" s="91" t="s">
        <v>610</v>
      </c>
      <c r="B18" s="84" t="s">
        <v>611</v>
      </c>
      <c r="C18" s="84" t="s">
        <v>612</v>
      </c>
      <c r="D18" s="57">
        <v>3</v>
      </c>
      <c r="E18" s="58" t="s">
        <v>31</v>
      </c>
      <c r="F18" s="113"/>
    </row>
    <row r="19" spans="1:7" ht="14.25" customHeight="1" x14ac:dyDescent="0.3">
      <c r="A19" s="87" t="s">
        <v>613</v>
      </c>
      <c r="B19" s="83"/>
      <c r="C19" s="83"/>
      <c r="D19" s="55" t="e">
        <f>IF(#REF!=COUNTA(A20:A24),Critério!$B$5,SUMPRODUCT(#REF!,#REF!)/SUM(#REF!))</f>
        <v>#REF!</v>
      </c>
      <c r="E19" s="83"/>
      <c r="F19" s="114"/>
    </row>
    <row r="20" spans="1:7" ht="40.799999999999997" x14ac:dyDescent="0.3">
      <c r="A20" s="91" t="s">
        <v>614</v>
      </c>
      <c r="B20" s="104" t="s">
        <v>615</v>
      </c>
      <c r="C20" s="104" t="s">
        <v>616</v>
      </c>
      <c r="D20" s="57">
        <v>3</v>
      </c>
      <c r="E20" s="58" t="s">
        <v>31</v>
      </c>
      <c r="F20" s="180"/>
    </row>
    <row r="21" spans="1:7" ht="91.8" x14ac:dyDescent="0.3">
      <c r="A21" s="91" t="s">
        <v>617</v>
      </c>
      <c r="B21" s="84" t="s">
        <v>618</v>
      </c>
      <c r="C21" s="103" t="s">
        <v>619</v>
      </c>
      <c r="D21" s="57">
        <v>3</v>
      </c>
      <c r="E21" s="58" t="s">
        <v>31</v>
      </c>
      <c r="F21" s="179" t="s">
        <v>798</v>
      </c>
    </row>
    <row r="22" spans="1:7" ht="102" x14ac:dyDescent="0.3">
      <c r="A22" s="91" t="s">
        <v>620</v>
      </c>
      <c r="B22" s="84" t="s">
        <v>621</v>
      </c>
      <c r="C22" s="84" t="s">
        <v>622</v>
      </c>
      <c r="D22" s="57">
        <v>3</v>
      </c>
      <c r="E22" s="58" t="s">
        <v>31</v>
      </c>
      <c r="F22" s="181" t="s">
        <v>799</v>
      </c>
    </row>
    <row r="23" spans="1:7" ht="81.599999999999994" x14ac:dyDescent="0.3">
      <c r="A23" s="91" t="s">
        <v>623</v>
      </c>
      <c r="B23" s="84" t="s">
        <v>624</v>
      </c>
      <c r="C23" s="84" t="s">
        <v>625</v>
      </c>
      <c r="D23" s="57">
        <v>3</v>
      </c>
      <c r="E23" s="58" t="s">
        <v>31</v>
      </c>
      <c r="F23" s="181"/>
      <c r="G23" s="176"/>
    </row>
    <row r="24" spans="1:7" ht="132.6" x14ac:dyDescent="0.3">
      <c r="A24" s="91" t="s">
        <v>626</v>
      </c>
      <c r="B24" s="84" t="s">
        <v>627</v>
      </c>
      <c r="C24" s="84" t="s">
        <v>628</v>
      </c>
      <c r="D24" s="57">
        <v>3</v>
      </c>
      <c r="E24" s="58" t="s">
        <v>31</v>
      </c>
      <c r="F24" s="90" t="s">
        <v>800</v>
      </c>
      <c r="G24" s="176"/>
    </row>
    <row r="25" spans="1:7" x14ac:dyDescent="0.3">
      <c r="A25" s="254" t="s">
        <v>629</v>
      </c>
      <c r="B25" s="255"/>
      <c r="C25" s="255"/>
      <c r="D25" s="55" t="e">
        <f>IF(#REF!=COUNTA(A26:A27),Critério!$B$5,SUMPRODUCT(#REF!,#REF!)/SUM(#REF!))</f>
        <v>#REF!</v>
      </c>
      <c r="E25" s="106"/>
      <c r="F25" s="114"/>
    </row>
    <row r="26" spans="1:7" ht="122.4" x14ac:dyDescent="0.3">
      <c r="A26" s="91" t="s">
        <v>630</v>
      </c>
      <c r="B26" s="84" t="s">
        <v>631</v>
      </c>
      <c r="C26" s="105" t="s">
        <v>632</v>
      </c>
      <c r="D26" s="57">
        <v>3</v>
      </c>
      <c r="E26" s="58" t="s">
        <v>31</v>
      </c>
      <c r="F26" s="181"/>
    </row>
    <row r="27" spans="1:7" ht="91.8" x14ac:dyDescent="0.3">
      <c r="A27" s="91" t="s">
        <v>633</v>
      </c>
      <c r="B27" s="85" t="s">
        <v>634</v>
      </c>
      <c r="C27" s="103" t="s">
        <v>635</v>
      </c>
      <c r="D27" s="57">
        <v>3</v>
      </c>
      <c r="E27" s="58" t="s">
        <v>31</v>
      </c>
      <c r="F27" s="181"/>
    </row>
    <row r="28" spans="1:7" x14ac:dyDescent="0.3">
      <c r="A28" s="87" t="s">
        <v>636</v>
      </c>
      <c r="B28" s="83"/>
      <c r="C28" s="83"/>
      <c r="D28" s="55" t="e">
        <f>IF(#REF!=COUNTA(A29:A30),Critério!$B$5,SUMPRODUCT(#REF!,#REF!)/SUM(#REF!))</f>
        <v>#REF!</v>
      </c>
      <c r="E28" s="83"/>
      <c r="F28" s="174"/>
    </row>
    <row r="29" spans="1:7" ht="30.6" x14ac:dyDescent="0.3">
      <c r="A29" s="89" t="s">
        <v>637</v>
      </c>
      <c r="B29" s="84" t="s">
        <v>638</v>
      </c>
      <c r="C29" s="84" t="s">
        <v>639</v>
      </c>
      <c r="D29" s="57">
        <v>3</v>
      </c>
      <c r="E29" s="58" t="s">
        <v>31</v>
      </c>
      <c r="F29" s="179"/>
    </row>
    <row r="30" spans="1:7" ht="65.25" customHeight="1" x14ac:dyDescent="0.3">
      <c r="A30" s="89" t="s">
        <v>640</v>
      </c>
      <c r="B30" s="84" t="s">
        <v>641</v>
      </c>
      <c r="C30" s="84" t="s">
        <v>642</v>
      </c>
      <c r="D30" s="57">
        <v>3</v>
      </c>
      <c r="E30" s="58" t="s">
        <v>31</v>
      </c>
      <c r="F30" s="110"/>
    </row>
    <row r="31" spans="1:7" x14ac:dyDescent="0.3">
      <c r="A31" s="87" t="s">
        <v>643</v>
      </c>
      <c r="B31" s="83"/>
      <c r="C31" s="83"/>
      <c r="D31" s="55" t="e">
        <f>IF(#REF!=COUNTA(A32:A33),Critério!$B$5,SUMPRODUCT(#REF!,#REF!)/SUM(#REF!))</f>
        <v>#REF!</v>
      </c>
      <c r="E31" s="83"/>
      <c r="F31" s="174"/>
    </row>
    <row r="32" spans="1:7" ht="153" x14ac:dyDescent="0.3">
      <c r="A32" s="91" t="s">
        <v>644</v>
      </c>
      <c r="B32" s="84" t="s">
        <v>645</v>
      </c>
      <c r="C32" s="84" t="s">
        <v>646</v>
      </c>
      <c r="D32" s="57">
        <v>3</v>
      </c>
      <c r="E32" s="58" t="s">
        <v>31</v>
      </c>
      <c r="F32" s="115"/>
    </row>
    <row r="33" spans="1:6" ht="89.1" customHeight="1" thickBot="1" x14ac:dyDescent="0.35">
      <c r="A33" s="116" t="s">
        <v>647</v>
      </c>
      <c r="B33" s="94" t="s">
        <v>648</v>
      </c>
      <c r="C33" s="94" t="s">
        <v>649</v>
      </c>
      <c r="D33" s="73">
        <v>3</v>
      </c>
      <c r="E33" s="74" t="s">
        <v>31</v>
      </c>
      <c r="F33" s="117"/>
    </row>
  </sheetData>
  <autoFilter ref="A3:F33" xr:uid="{00000000-0001-0000-0B00-000000000000}"/>
  <mergeCells count="2">
    <mergeCell ref="A25:C25"/>
    <mergeCell ref="A1:F2"/>
  </mergeCells>
  <phoneticPr fontId="12" type="noConversion"/>
  <conditionalFormatting sqref="A3">
    <cfRule type="duplicateValues" dxfId="275" priority="176"/>
  </conditionalFormatting>
  <conditionalFormatting sqref="A4">
    <cfRule type="duplicateValues" dxfId="274" priority="169"/>
  </conditionalFormatting>
  <conditionalFormatting sqref="A5:A9">
    <cfRule type="duplicateValues" dxfId="273" priority="161"/>
  </conditionalFormatting>
  <conditionalFormatting sqref="A10">
    <cfRule type="duplicateValues" dxfId="272" priority="168"/>
  </conditionalFormatting>
  <conditionalFormatting sqref="A11:A18">
    <cfRule type="duplicateValues" dxfId="271" priority="160"/>
  </conditionalFormatting>
  <conditionalFormatting sqref="A19">
    <cfRule type="duplicateValues" dxfId="270" priority="167"/>
  </conditionalFormatting>
  <conditionalFormatting sqref="A20:A24 A29:A30">
    <cfRule type="expression" dxfId="269" priority="183" stopIfTrue="1">
      <formula>AND(COUNTIF($A$20:$A$24, A20)+COUNTIF($A$29:$A$30, A20)&gt;1,NOT(ISBLANK(A20)))</formula>
    </cfRule>
  </conditionalFormatting>
  <conditionalFormatting sqref="A26:A27">
    <cfRule type="duplicateValues" dxfId="268" priority="159"/>
  </conditionalFormatting>
  <conditionalFormatting sqref="A28">
    <cfRule type="duplicateValues" dxfId="267" priority="166"/>
  </conditionalFormatting>
  <conditionalFormatting sqref="A31">
    <cfRule type="duplicateValues" dxfId="266" priority="165"/>
  </conditionalFormatting>
  <conditionalFormatting sqref="A32:A33">
    <cfRule type="duplicateValues" dxfId="265" priority="170"/>
  </conditionalFormatting>
  <dataValidations count="1">
    <dataValidation allowBlank="1" showInputMessage="1" showErrorMessage="1" sqref="F27 F32" xr:uid="{8BF6AE45-587E-448A-9E1A-6DC590F9A822}"/>
  </dataValidations>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10242"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10242"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73" stopIfTrue="1" operator="equal" id="{817C507C-CAF0-4FF0-8810-85C2EC48AA14}">
            <xm:f>Critério!$B$10</xm:f>
            <x14:dxf>
              <fill>
                <patternFill>
                  <bgColor rgb="FF0070C0"/>
                </patternFill>
              </fill>
            </x14:dxf>
          </x14:cfRule>
          <x14:cfRule type="cellIs" priority="74" stopIfTrue="1" operator="equal" id="{8F4F96FE-73E8-4230-AA57-7091AA3572BC}">
            <xm:f>Critério!$B$9</xm:f>
            <x14:dxf>
              <fill>
                <patternFill>
                  <bgColor rgb="FF00FF00"/>
                </patternFill>
              </fill>
            </x14:dxf>
          </x14:cfRule>
          <x14:cfRule type="cellIs" priority="75" stopIfTrue="1" operator="equal" id="{052A1E44-44B0-4F7E-A309-3B9ED2FBB88D}">
            <xm:f>Critério!$B$8</xm:f>
            <x14:dxf>
              <fill>
                <patternFill>
                  <bgColor rgb="FFFFFF00"/>
                </patternFill>
              </fill>
            </x14:dxf>
          </x14:cfRule>
          <x14:cfRule type="cellIs" priority="76" stopIfTrue="1" operator="equal" id="{054231DA-830A-4A9C-984F-239CE51899BB}">
            <xm:f>Critério!$B$7</xm:f>
            <x14:dxf>
              <fill>
                <patternFill>
                  <bgColor rgb="FFFF0000"/>
                </patternFill>
              </fill>
            </x14:dxf>
          </x14:cfRule>
          <x14:cfRule type="cellIs" priority="77" stopIfTrue="1" operator="equal" id="{3F9936B4-B20E-4907-BC3C-675197EBCC20}">
            <xm:f>Critério!$B$6</xm:f>
            <x14:dxf>
              <fill>
                <patternFill>
                  <bgColor rgb="FFC00000"/>
                </patternFill>
              </fill>
            </x14:dxf>
          </x14:cfRule>
          <x14:cfRule type="cellIs" priority="78" stopIfTrue="1" operator="equal" id="{B17AE338-F848-44C4-8BCA-804E499F139F}">
            <xm:f>Critério!$B$5</xm:f>
            <x14:dxf>
              <fill>
                <patternFill>
                  <bgColor rgb="FFFFC000"/>
                </patternFill>
              </fill>
            </x14:dxf>
          </x14:cfRule>
          <xm:sqref>D5:D9</xm:sqref>
        </x14:conditionalFormatting>
        <x14:conditionalFormatting xmlns:xm="http://schemas.microsoft.com/office/excel/2006/main">
          <x14:cfRule type="cellIs" priority="60" stopIfTrue="1" operator="equal" id="{A6F032BB-01D3-4AC3-B315-3A4415F37EF1}">
            <xm:f>Critério!$B$10</xm:f>
            <x14:dxf>
              <fill>
                <patternFill>
                  <bgColor rgb="FF0070C0"/>
                </patternFill>
              </fill>
            </x14:dxf>
          </x14:cfRule>
          <x14:cfRule type="cellIs" priority="61" stopIfTrue="1" operator="equal" id="{EDB93817-8E53-4F47-A742-5D7CBCF8649F}">
            <xm:f>Critério!$B$9</xm:f>
            <x14:dxf>
              <fill>
                <patternFill>
                  <bgColor rgb="FF00FF00"/>
                </patternFill>
              </fill>
            </x14:dxf>
          </x14:cfRule>
          <x14:cfRule type="cellIs" priority="62" stopIfTrue="1" operator="equal" id="{0F382269-D4CE-43B7-B44B-DA337D166CA7}">
            <xm:f>Critério!$B$8</xm:f>
            <x14:dxf>
              <fill>
                <patternFill>
                  <bgColor rgb="FFFFFF00"/>
                </patternFill>
              </fill>
            </x14:dxf>
          </x14:cfRule>
          <x14:cfRule type="cellIs" priority="63" stopIfTrue="1" operator="equal" id="{610679B2-7E3A-4A32-8F65-ED721F884BC3}">
            <xm:f>Critério!$B$7</xm:f>
            <x14:dxf>
              <fill>
                <patternFill>
                  <bgColor rgb="FFFF0000"/>
                </patternFill>
              </fill>
            </x14:dxf>
          </x14:cfRule>
          <x14:cfRule type="cellIs" priority="64" stopIfTrue="1" operator="equal" id="{6F49EEF1-7291-42A7-BBCA-3D791BFF05D9}">
            <xm:f>Critério!$B$6</xm:f>
            <x14:dxf>
              <fill>
                <patternFill>
                  <bgColor rgb="FFC00000"/>
                </patternFill>
              </fill>
            </x14:dxf>
          </x14:cfRule>
          <x14:cfRule type="cellIs" priority="65" stopIfTrue="1" operator="equal" id="{57048D95-40D3-4D99-ACCA-88C78A08FFBC}">
            <xm:f>Critério!$B$5</xm:f>
            <x14:dxf>
              <fill>
                <patternFill>
                  <bgColor rgb="FFFFC000"/>
                </patternFill>
              </fill>
            </x14:dxf>
          </x14:cfRule>
          <xm:sqref>D11:D18</xm:sqref>
        </x14:conditionalFormatting>
        <x14:conditionalFormatting xmlns:xm="http://schemas.microsoft.com/office/excel/2006/main">
          <x14:cfRule type="cellIs" priority="47" stopIfTrue="1" operator="equal" id="{A6424F87-27D0-46EF-B2CF-F18731CBC23A}">
            <xm:f>Critério!$B$10</xm:f>
            <x14:dxf>
              <fill>
                <patternFill>
                  <bgColor rgb="FF0070C0"/>
                </patternFill>
              </fill>
            </x14:dxf>
          </x14:cfRule>
          <x14:cfRule type="cellIs" priority="48" stopIfTrue="1" operator="equal" id="{159CB7F2-0081-43D1-B653-7C2AE08BEC16}">
            <xm:f>Critério!$B$9</xm:f>
            <x14:dxf>
              <fill>
                <patternFill>
                  <bgColor rgb="FF00FF00"/>
                </patternFill>
              </fill>
            </x14:dxf>
          </x14:cfRule>
          <x14:cfRule type="cellIs" priority="49" stopIfTrue="1" operator="equal" id="{F31312D5-2875-4E3F-89F5-A6A0B2AB7CD8}">
            <xm:f>Critério!$B$8</xm:f>
            <x14:dxf>
              <fill>
                <patternFill>
                  <bgColor rgb="FFFFFF00"/>
                </patternFill>
              </fill>
            </x14:dxf>
          </x14:cfRule>
          <x14:cfRule type="cellIs" priority="50" stopIfTrue="1" operator="equal" id="{10435E39-F8D8-42EA-B882-CD1F2A64C2D9}">
            <xm:f>Critério!$B$7</xm:f>
            <x14:dxf>
              <fill>
                <patternFill>
                  <bgColor rgb="FFFF0000"/>
                </patternFill>
              </fill>
            </x14:dxf>
          </x14:cfRule>
          <x14:cfRule type="cellIs" priority="51" stopIfTrue="1" operator="equal" id="{5A986161-7F8A-47B7-9617-E898010FBABA}">
            <xm:f>Critério!$B$6</xm:f>
            <x14:dxf>
              <fill>
                <patternFill>
                  <bgColor rgb="FFC00000"/>
                </patternFill>
              </fill>
            </x14:dxf>
          </x14:cfRule>
          <x14:cfRule type="cellIs" priority="52" stopIfTrue="1" operator="equal" id="{66301BB6-F867-49D7-B7CE-C7F454103120}">
            <xm:f>Critério!$B$5</xm:f>
            <x14:dxf>
              <fill>
                <patternFill>
                  <bgColor rgb="FFFFC000"/>
                </patternFill>
              </fill>
            </x14:dxf>
          </x14:cfRule>
          <xm:sqref>D20:D24</xm:sqref>
        </x14:conditionalFormatting>
        <x14:conditionalFormatting xmlns:xm="http://schemas.microsoft.com/office/excel/2006/main">
          <x14:cfRule type="cellIs" priority="34" stopIfTrue="1" operator="equal" id="{DC613445-9973-47A1-B23A-B121A1207156}">
            <xm:f>Critério!$B$10</xm:f>
            <x14:dxf>
              <fill>
                <patternFill>
                  <bgColor rgb="FF0070C0"/>
                </patternFill>
              </fill>
            </x14:dxf>
          </x14:cfRule>
          <x14:cfRule type="cellIs" priority="35" stopIfTrue="1" operator="equal" id="{7D1DCDBE-86C6-424D-9249-54FAE8962A16}">
            <xm:f>Critério!$B$9</xm:f>
            <x14:dxf>
              <fill>
                <patternFill>
                  <bgColor rgb="FF00FF00"/>
                </patternFill>
              </fill>
            </x14:dxf>
          </x14:cfRule>
          <x14:cfRule type="cellIs" priority="36" stopIfTrue="1" operator="equal" id="{A8CBBE83-87DE-44D2-9F52-FA1C6F171DD2}">
            <xm:f>Critério!$B$8</xm:f>
            <x14:dxf>
              <fill>
                <patternFill>
                  <bgColor rgb="FFFFFF00"/>
                </patternFill>
              </fill>
            </x14:dxf>
          </x14:cfRule>
          <x14:cfRule type="cellIs" priority="37" stopIfTrue="1" operator="equal" id="{52F25AAE-DBCB-4085-BD5E-6B1764A5BDF5}">
            <xm:f>Critério!$B$7</xm:f>
            <x14:dxf>
              <fill>
                <patternFill>
                  <bgColor rgb="FFFF0000"/>
                </patternFill>
              </fill>
            </x14:dxf>
          </x14:cfRule>
          <x14:cfRule type="cellIs" priority="38" stopIfTrue="1" operator="equal" id="{EE6CA888-510C-4F07-8A97-B96153B0A435}">
            <xm:f>Critério!$B$6</xm:f>
            <x14:dxf>
              <fill>
                <patternFill>
                  <bgColor rgb="FFC00000"/>
                </patternFill>
              </fill>
            </x14:dxf>
          </x14:cfRule>
          <x14:cfRule type="cellIs" priority="39" stopIfTrue="1" operator="equal" id="{CF6FB461-B79C-41E8-A874-C2E2EFAAF0C7}">
            <xm:f>Critério!$B$5</xm:f>
            <x14:dxf>
              <fill>
                <patternFill>
                  <bgColor rgb="FFFFC000"/>
                </patternFill>
              </fill>
            </x14:dxf>
          </x14:cfRule>
          <xm:sqref>D26:D27</xm:sqref>
        </x14:conditionalFormatting>
        <x14:conditionalFormatting xmlns:xm="http://schemas.microsoft.com/office/excel/2006/main">
          <x14:cfRule type="cellIs" priority="21" stopIfTrue="1" operator="equal" id="{7F42F5D2-A923-4E3B-8AAD-28369E503D2A}">
            <xm:f>Critério!$B$10</xm:f>
            <x14:dxf>
              <fill>
                <patternFill>
                  <bgColor rgb="FF0070C0"/>
                </patternFill>
              </fill>
            </x14:dxf>
          </x14:cfRule>
          <x14:cfRule type="cellIs" priority="22" stopIfTrue="1" operator="equal" id="{02D25BB5-EB1B-45F5-8B32-14F307565345}">
            <xm:f>Critério!$B$9</xm:f>
            <x14:dxf>
              <fill>
                <patternFill>
                  <bgColor rgb="FF00FF00"/>
                </patternFill>
              </fill>
            </x14:dxf>
          </x14:cfRule>
          <x14:cfRule type="cellIs" priority="23" stopIfTrue="1" operator="equal" id="{F95371EF-E46E-4E3B-B39F-BDF7C1BFD42C}">
            <xm:f>Critério!$B$8</xm:f>
            <x14:dxf>
              <fill>
                <patternFill>
                  <bgColor rgb="FFFFFF00"/>
                </patternFill>
              </fill>
            </x14:dxf>
          </x14:cfRule>
          <x14:cfRule type="cellIs" priority="24" stopIfTrue="1" operator="equal" id="{D201D417-6473-41BB-AD24-670DF29EA635}">
            <xm:f>Critério!$B$7</xm:f>
            <x14:dxf>
              <fill>
                <patternFill>
                  <bgColor rgb="FFFF0000"/>
                </patternFill>
              </fill>
            </x14:dxf>
          </x14:cfRule>
          <x14:cfRule type="cellIs" priority="25" stopIfTrue="1" operator="equal" id="{C3A2830A-CC07-45DB-9E7F-26C8E64CE73A}">
            <xm:f>Critério!$B$6</xm:f>
            <x14:dxf>
              <fill>
                <patternFill>
                  <bgColor rgb="FFC00000"/>
                </patternFill>
              </fill>
            </x14:dxf>
          </x14:cfRule>
          <x14:cfRule type="cellIs" priority="26" stopIfTrue="1" operator="equal" id="{6C2D4DFA-DDDF-4D46-A199-42584B0AE9AE}">
            <xm:f>Critério!$B$5</xm:f>
            <x14:dxf>
              <fill>
                <patternFill>
                  <bgColor rgb="FFFFC000"/>
                </patternFill>
              </fill>
            </x14:dxf>
          </x14:cfRule>
          <xm:sqref>D29:D30</xm:sqref>
        </x14:conditionalFormatting>
        <x14:conditionalFormatting xmlns:xm="http://schemas.microsoft.com/office/excel/2006/main">
          <x14:cfRule type="cellIs" priority="8" stopIfTrue="1" operator="equal" id="{709699EB-CE69-4023-9185-CEF1FEE94A24}">
            <xm:f>Critério!$B$10</xm:f>
            <x14:dxf>
              <fill>
                <patternFill>
                  <bgColor rgb="FF0070C0"/>
                </patternFill>
              </fill>
            </x14:dxf>
          </x14:cfRule>
          <x14:cfRule type="cellIs" priority="9" stopIfTrue="1" operator="equal" id="{FDCA110F-CB0B-42A1-87CD-3BC52D79997C}">
            <xm:f>Critério!$B$9</xm:f>
            <x14:dxf>
              <fill>
                <patternFill>
                  <bgColor rgb="FF00FF00"/>
                </patternFill>
              </fill>
            </x14:dxf>
          </x14:cfRule>
          <x14:cfRule type="cellIs" priority="10" stopIfTrue="1" operator="equal" id="{E9BCE165-CAC1-4B9C-8E8C-F784AF41D985}">
            <xm:f>Critério!$B$8</xm:f>
            <x14:dxf>
              <fill>
                <patternFill>
                  <bgColor rgb="FFFFFF00"/>
                </patternFill>
              </fill>
            </x14:dxf>
          </x14:cfRule>
          <x14:cfRule type="cellIs" priority="11" stopIfTrue="1" operator="equal" id="{028C59AE-9AFD-4CC0-80C1-F713E03D36F0}">
            <xm:f>Critério!$B$7</xm:f>
            <x14:dxf>
              <fill>
                <patternFill>
                  <bgColor rgb="FFFF0000"/>
                </patternFill>
              </fill>
            </x14:dxf>
          </x14:cfRule>
          <x14:cfRule type="cellIs" priority="12" stopIfTrue="1" operator="equal" id="{96B5355A-545F-40B3-B69B-DABAF9F07CBF}">
            <xm:f>Critério!$B$6</xm:f>
            <x14:dxf>
              <fill>
                <patternFill>
                  <bgColor rgb="FFC00000"/>
                </patternFill>
              </fill>
            </x14:dxf>
          </x14:cfRule>
          <x14:cfRule type="cellIs" priority="13" stopIfTrue="1" operator="equal" id="{21A0D3DF-F298-4DF0-BC29-E909CC016346}">
            <xm:f>Critério!$B$5</xm:f>
            <x14:dxf>
              <fill>
                <patternFill>
                  <bgColor rgb="FFFFC000"/>
                </patternFill>
              </fill>
            </x14:dxf>
          </x14:cfRule>
          <xm:sqref>D32:D33</xm:sqref>
        </x14:conditionalFormatting>
        <x14:conditionalFormatting xmlns:xm="http://schemas.microsoft.com/office/excel/2006/main">
          <x14:cfRule type="cellIs" priority="66" operator="equal" id="{E363AF99-BD63-4E1F-9313-8513E8B27A8E}">
            <xm:f>Critério!$B$14</xm:f>
            <x14:dxf>
              <fill>
                <patternFill>
                  <bgColor rgb="FFFFC000"/>
                </patternFill>
              </fill>
            </x14:dxf>
          </x14:cfRule>
          <x14:cfRule type="cellIs" priority="67" operator="equal" id="{7A915257-B423-4A47-8C65-A9FB68DFE78F}">
            <xm:f>Critério!$B$15</xm:f>
            <x14:dxf>
              <fill>
                <patternFill>
                  <bgColor rgb="FFC00000"/>
                </patternFill>
              </fill>
            </x14:dxf>
          </x14:cfRule>
          <x14:cfRule type="cellIs" priority="68" operator="equal" id="{3D740B2F-7709-4DC4-B210-1B43774A7AE0}">
            <xm:f>Critério!$B$16</xm:f>
            <x14:dxf>
              <fill>
                <patternFill>
                  <bgColor rgb="FFFF0000"/>
                </patternFill>
              </fill>
            </x14:dxf>
          </x14:cfRule>
          <x14:cfRule type="cellIs" priority="69" operator="equal" id="{7EFF061F-BD0E-4EC1-98BE-3853FBA493BB}">
            <xm:f>Critério!$B$17</xm:f>
            <x14:dxf>
              <fill>
                <patternFill>
                  <bgColor theme="9" tint="-0.24994659260841701"/>
                </patternFill>
              </fill>
            </x14:dxf>
          </x14:cfRule>
          <x14:cfRule type="cellIs" priority="70" operator="equal" id="{63129217-0237-4252-9BFA-5DCA7812C2D2}">
            <xm:f>Critério!$B$18</xm:f>
            <x14:dxf>
              <fill>
                <patternFill>
                  <bgColor rgb="FFFFFF00"/>
                </patternFill>
              </fill>
            </x14:dxf>
          </x14:cfRule>
          <x14:cfRule type="cellIs" priority="71" operator="equal" id="{995036F2-EB5D-43EC-9068-E8F1ACC7D5CE}">
            <xm:f>Critério!$B$19</xm:f>
            <x14:dxf>
              <fill>
                <patternFill>
                  <bgColor rgb="FF00FF00"/>
                </patternFill>
              </fill>
            </x14:dxf>
          </x14:cfRule>
          <x14:cfRule type="cellIs" priority="72" operator="equal" id="{AF3B1B8F-FB70-4626-B031-3366A7AB6480}">
            <xm:f>Critério!$B$20</xm:f>
            <x14:dxf>
              <fill>
                <patternFill>
                  <bgColor rgb="FF0070C0"/>
                </patternFill>
              </fill>
            </x14:dxf>
          </x14:cfRule>
          <xm:sqref>E5:E9</xm:sqref>
        </x14:conditionalFormatting>
        <x14:conditionalFormatting xmlns:xm="http://schemas.microsoft.com/office/excel/2006/main">
          <x14:cfRule type="cellIs" priority="53" operator="equal" id="{45F88534-B83E-45DA-959D-E8ECCEA8E135}">
            <xm:f>Critério!$B$14</xm:f>
            <x14:dxf>
              <fill>
                <patternFill>
                  <bgColor rgb="FFFFC000"/>
                </patternFill>
              </fill>
            </x14:dxf>
          </x14:cfRule>
          <x14:cfRule type="cellIs" priority="54" operator="equal" id="{460E29A0-DD80-4BBD-87D8-68675F4D6BFB}">
            <xm:f>Critério!$B$15</xm:f>
            <x14:dxf>
              <fill>
                <patternFill>
                  <bgColor rgb="FFC00000"/>
                </patternFill>
              </fill>
            </x14:dxf>
          </x14:cfRule>
          <x14:cfRule type="cellIs" priority="55" operator="equal" id="{783F897C-9C6F-469B-BF48-69DD2715E545}">
            <xm:f>Critério!$B$16</xm:f>
            <x14:dxf>
              <fill>
                <patternFill>
                  <bgColor rgb="FFFF0000"/>
                </patternFill>
              </fill>
            </x14:dxf>
          </x14:cfRule>
          <x14:cfRule type="cellIs" priority="56" operator="equal" id="{9A6D3369-DF6B-47BD-ABCF-115298F59AC1}">
            <xm:f>Critério!$B$17</xm:f>
            <x14:dxf>
              <fill>
                <patternFill>
                  <bgColor theme="9" tint="-0.24994659260841701"/>
                </patternFill>
              </fill>
            </x14:dxf>
          </x14:cfRule>
          <x14:cfRule type="cellIs" priority="57" operator="equal" id="{C6DDD585-2688-414C-9063-A6E51CCE72F7}">
            <xm:f>Critério!$B$18</xm:f>
            <x14:dxf>
              <fill>
                <patternFill>
                  <bgColor rgb="FFFFFF00"/>
                </patternFill>
              </fill>
            </x14:dxf>
          </x14:cfRule>
          <x14:cfRule type="cellIs" priority="58" operator="equal" id="{D64588CA-1139-4E00-9FFE-49DDB40BCC24}">
            <xm:f>Critério!$B$19</xm:f>
            <x14:dxf>
              <fill>
                <patternFill>
                  <bgColor rgb="FF00FF00"/>
                </patternFill>
              </fill>
            </x14:dxf>
          </x14:cfRule>
          <x14:cfRule type="cellIs" priority="59" operator="equal" id="{B128E375-A94B-4975-BCC5-EDAFDE5DE6A7}">
            <xm:f>Critério!$B$20</xm:f>
            <x14:dxf>
              <fill>
                <patternFill>
                  <bgColor rgb="FF0070C0"/>
                </patternFill>
              </fill>
            </x14:dxf>
          </x14:cfRule>
          <xm:sqref>E11:E18</xm:sqref>
        </x14:conditionalFormatting>
        <x14:conditionalFormatting xmlns:xm="http://schemas.microsoft.com/office/excel/2006/main">
          <x14:cfRule type="cellIs" priority="40" operator="equal" id="{084EDAFF-F8C1-4063-823B-39A28AA0461F}">
            <xm:f>Critério!$B$14</xm:f>
            <x14:dxf>
              <fill>
                <patternFill>
                  <bgColor rgb="FFFFC000"/>
                </patternFill>
              </fill>
            </x14:dxf>
          </x14:cfRule>
          <x14:cfRule type="cellIs" priority="41" operator="equal" id="{ADBD819F-3428-4346-89A2-C34391D69FDF}">
            <xm:f>Critério!$B$15</xm:f>
            <x14:dxf>
              <fill>
                <patternFill>
                  <bgColor rgb="FFC00000"/>
                </patternFill>
              </fill>
            </x14:dxf>
          </x14:cfRule>
          <x14:cfRule type="cellIs" priority="42" operator="equal" id="{7BB131EB-B46F-43F4-B077-BB037AC6ADDC}">
            <xm:f>Critério!$B$16</xm:f>
            <x14:dxf>
              <fill>
                <patternFill>
                  <bgColor rgb="FFFF0000"/>
                </patternFill>
              </fill>
            </x14:dxf>
          </x14:cfRule>
          <x14:cfRule type="cellIs" priority="43" operator="equal" id="{159982E1-D616-4934-AA0B-6BBD771530FC}">
            <xm:f>Critério!$B$17</xm:f>
            <x14:dxf>
              <fill>
                <patternFill>
                  <bgColor theme="9" tint="-0.24994659260841701"/>
                </patternFill>
              </fill>
            </x14:dxf>
          </x14:cfRule>
          <x14:cfRule type="cellIs" priority="44" operator="equal" id="{9180EF07-B838-4489-94CE-01328FDDC874}">
            <xm:f>Critério!$B$18</xm:f>
            <x14:dxf>
              <fill>
                <patternFill>
                  <bgColor rgb="FFFFFF00"/>
                </patternFill>
              </fill>
            </x14:dxf>
          </x14:cfRule>
          <x14:cfRule type="cellIs" priority="45" operator="equal" id="{C9937247-84C2-44A6-B80B-62D654E026C7}">
            <xm:f>Critério!$B$19</xm:f>
            <x14:dxf>
              <fill>
                <patternFill>
                  <bgColor rgb="FF00FF00"/>
                </patternFill>
              </fill>
            </x14:dxf>
          </x14:cfRule>
          <x14:cfRule type="cellIs" priority="46" operator="equal" id="{CB95257F-F950-4C99-9AFA-5E1E6CA6E749}">
            <xm:f>Critério!$B$20</xm:f>
            <x14:dxf>
              <fill>
                <patternFill>
                  <bgColor rgb="FF0070C0"/>
                </patternFill>
              </fill>
            </x14:dxf>
          </x14:cfRule>
          <xm:sqref>E20:E24</xm:sqref>
        </x14:conditionalFormatting>
        <x14:conditionalFormatting xmlns:xm="http://schemas.microsoft.com/office/excel/2006/main">
          <x14:cfRule type="cellIs" priority="27" operator="equal" id="{CA39B548-13BA-444E-9405-270E5895D9A6}">
            <xm:f>Critério!$B$14</xm:f>
            <x14:dxf>
              <fill>
                <patternFill>
                  <bgColor rgb="FFFFC000"/>
                </patternFill>
              </fill>
            </x14:dxf>
          </x14:cfRule>
          <x14:cfRule type="cellIs" priority="28" operator="equal" id="{480A71F3-1EB8-45C3-9612-AB2917D06BF5}">
            <xm:f>Critério!$B$15</xm:f>
            <x14:dxf>
              <fill>
                <patternFill>
                  <bgColor rgb="FFC00000"/>
                </patternFill>
              </fill>
            </x14:dxf>
          </x14:cfRule>
          <x14:cfRule type="cellIs" priority="29" operator="equal" id="{BDE07F09-814C-4999-B34F-665DCE627D14}">
            <xm:f>Critério!$B$16</xm:f>
            <x14:dxf>
              <fill>
                <patternFill>
                  <bgColor rgb="FFFF0000"/>
                </patternFill>
              </fill>
            </x14:dxf>
          </x14:cfRule>
          <x14:cfRule type="cellIs" priority="30" operator="equal" id="{922363BE-6742-466E-90B9-942929F58AB0}">
            <xm:f>Critério!$B$17</xm:f>
            <x14:dxf>
              <fill>
                <patternFill>
                  <bgColor theme="9" tint="-0.24994659260841701"/>
                </patternFill>
              </fill>
            </x14:dxf>
          </x14:cfRule>
          <x14:cfRule type="cellIs" priority="31" operator="equal" id="{A60EC3E1-F8BB-42EC-98E7-E7530D058061}">
            <xm:f>Critério!$B$18</xm:f>
            <x14:dxf>
              <fill>
                <patternFill>
                  <bgColor rgb="FFFFFF00"/>
                </patternFill>
              </fill>
            </x14:dxf>
          </x14:cfRule>
          <x14:cfRule type="cellIs" priority="32" operator="equal" id="{AFFC50B5-787C-4CB6-BB4C-095916F34BB5}">
            <xm:f>Critério!$B$19</xm:f>
            <x14:dxf>
              <fill>
                <patternFill>
                  <bgColor rgb="FF00FF00"/>
                </patternFill>
              </fill>
            </x14:dxf>
          </x14:cfRule>
          <x14:cfRule type="cellIs" priority="33" operator="equal" id="{898C6D42-B66C-46A0-8E94-1B7E2669FB1D}">
            <xm:f>Critério!$B$20</xm:f>
            <x14:dxf>
              <fill>
                <patternFill>
                  <bgColor rgb="FF0070C0"/>
                </patternFill>
              </fill>
            </x14:dxf>
          </x14:cfRule>
          <xm:sqref>E26:E27</xm:sqref>
        </x14:conditionalFormatting>
        <x14:conditionalFormatting xmlns:xm="http://schemas.microsoft.com/office/excel/2006/main">
          <x14:cfRule type="cellIs" priority="14" operator="equal" id="{EE4FEC7F-0C89-45DA-944A-7EF7943ADEEA}">
            <xm:f>Critério!$B$14</xm:f>
            <x14:dxf>
              <fill>
                <patternFill>
                  <bgColor rgb="FFFFC000"/>
                </patternFill>
              </fill>
            </x14:dxf>
          </x14:cfRule>
          <x14:cfRule type="cellIs" priority="15" operator="equal" id="{FB07AF4D-AB95-4C55-AFF6-9F5C756369A7}">
            <xm:f>Critério!$B$15</xm:f>
            <x14:dxf>
              <fill>
                <patternFill>
                  <bgColor rgb="FFC00000"/>
                </patternFill>
              </fill>
            </x14:dxf>
          </x14:cfRule>
          <x14:cfRule type="cellIs" priority="16" operator="equal" id="{39F21206-2A4B-4DD9-BD11-C72E7768DD30}">
            <xm:f>Critério!$B$16</xm:f>
            <x14:dxf>
              <fill>
                <patternFill>
                  <bgColor rgb="FFFF0000"/>
                </patternFill>
              </fill>
            </x14:dxf>
          </x14:cfRule>
          <x14:cfRule type="cellIs" priority="17" operator="equal" id="{58381C4C-77F3-4909-A56B-4271A015F045}">
            <xm:f>Critério!$B$17</xm:f>
            <x14:dxf>
              <fill>
                <patternFill>
                  <bgColor theme="9" tint="-0.24994659260841701"/>
                </patternFill>
              </fill>
            </x14:dxf>
          </x14:cfRule>
          <x14:cfRule type="cellIs" priority="18" operator="equal" id="{96764272-4037-48E5-B294-248000F0F9E7}">
            <xm:f>Critério!$B$18</xm:f>
            <x14:dxf>
              <fill>
                <patternFill>
                  <bgColor rgb="FFFFFF00"/>
                </patternFill>
              </fill>
            </x14:dxf>
          </x14:cfRule>
          <x14:cfRule type="cellIs" priority="19" operator="equal" id="{6D686650-1F71-42AD-890F-C812C137FD47}">
            <xm:f>Critério!$B$19</xm:f>
            <x14:dxf>
              <fill>
                <patternFill>
                  <bgColor rgb="FF00FF00"/>
                </patternFill>
              </fill>
            </x14:dxf>
          </x14:cfRule>
          <x14:cfRule type="cellIs" priority="20" operator="equal" id="{C86520A5-43D1-4B9B-9C11-4763CE859852}">
            <xm:f>Critério!$B$20</xm:f>
            <x14:dxf>
              <fill>
                <patternFill>
                  <bgColor rgb="FF0070C0"/>
                </patternFill>
              </fill>
            </x14:dxf>
          </x14:cfRule>
          <xm:sqref>E29:E30</xm:sqref>
        </x14:conditionalFormatting>
        <x14:conditionalFormatting xmlns:xm="http://schemas.microsoft.com/office/excel/2006/main">
          <x14:cfRule type="cellIs" priority="1" operator="equal" id="{58D237AB-75BC-4540-B0A3-B8B4C0A41BF5}">
            <xm:f>Critério!$B$14</xm:f>
            <x14:dxf>
              <fill>
                <patternFill>
                  <bgColor rgb="FFFFC000"/>
                </patternFill>
              </fill>
            </x14:dxf>
          </x14:cfRule>
          <x14:cfRule type="cellIs" priority="2" operator="equal" id="{57B25A4D-9BE5-4557-B6E6-F3C75DD26A8F}">
            <xm:f>Critério!$B$15</xm:f>
            <x14:dxf>
              <fill>
                <patternFill>
                  <bgColor rgb="FFC00000"/>
                </patternFill>
              </fill>
            </x14:dxf>
          </x14:cfRule>
          <x14:cfRule type="cellIs" priority="3" operator="equal" id="{153142B1-6151-4CD3-B04E-91DD7EDB90B8}">
            <xm:f>Critério!$B$16</xm:f>
            <x14:dxf>
              <fill>
                <patternFill>
                  <bgColor rgb="FFFF0000"/>
                </patternFill>
              </fill>
            </x14:dxf>
          </x14:cfRule>
          <x14:cfRule type="cellIs" priority="4" operator="equal" id="{AFD6B35B-524A-4051-BE80-4F2FD84C22C2}">
            <xm:f>Critério!$B$17</xm:f>
            <x14:dxf>
              <fill>
                <patternFill>
                  <bgColor theme="9" tint="-0.24994659260841701"/>
                </patternFill>
              </fill>
            </x14:dxf>
          </x14:cfRule>
          <x14:cfRule type="cellIs" priority="5" operator="equal" id="{75B7FE86-0281-49F0-B60C-30829EC03254}">
            <xm:f>Critério!$B$18</xm:f>
            <x14:dxf>
              <fill>
                <patternFill>
                  <bgColor rgb="FFFFFF00"/>
                </patternFill>
              </fill>
            </x14:dxf>
          </x14:cfRule>
          <x14:cfRule type="cellIs" priority="6" operator="equal" id="{DF058E15-D453-480E-8EEA-27321828EFBB}">
            <xm:f>Critério!$B$19</xm:f>
            <x14:dxf>
              <fill>
                <patternFill>
                  <bgColor rgb="FF00FF00"/>
                </patternFill>
              </fill>
            </x14:dxf>
          </x14:cfRule>
          <x14:cfRule type="cellIs" priority="7" operator="equal" id="{CFF3F429-FA6F-407E-BB75-6491EB2DA4B3}">
            <xm:f>Critério!$B$20</xm:f>
            <x14:dxf>
              <fill>
                <patternFill>
                  <bgColor rgb="FF0070C0"/>
                </patternFill>
              </fill>
            </x14:dxf>
          </x14:cfRule>
          <xm:sqref>E32:E33</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C7B6BD7-97DC-469D-892E-A06CEDAE8A77}">
          <x14:formula1>
            <xm:f>Critério!$B$5:$B$10</xm:f>
          </x14:formula1>
          <xm:sqref>D29:D30 D5:D9 D11:D18 D20:D24 D26:D27 D32:D33</xm:sqref>
        </x14:dataValidation>
        <x14:dataValidation type="list" allowBlank="1" showInputMessage="1" showErrorMessage="1" xr:uid="{52D8FE43-EFB8-4BAC-8880-A0D45A4053E1}">
          <x14:formula1>
            <xm:f>Critério!$B$14:$B$20</xm:f>
          </x14:formula1>
          <xm:sqref>E29:E30 E5:E9 E11:E18 E20:E24 E26:E27 E32:E33</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4"/>
  <sheetViews>
    <sheetView showGridLines="0" zoomScaleNormal="100" workbookViewId="0">
      <selection activeCell="H3" sqref="H1:J1048576"/>
    </sheetView>
  </sheetViews>
  <sheetFormatPr defaultColWidth="17.3320312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650</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61" t="e">
        <f>IF(#REF!=Critério!$B$5,Critério!$B$5,SUM(IF(D4=Critério!$B$5,100%,D4)*SUM(#REF!),IF(D8=Critério!$B$5,100%,D8)*SUM(#REF!),IF(D10=Critério!$B$5,100%,D10)*SUM(#REF!)))/#REF!</f>
        <v>#REF!</v>
      </c>
      <c r="E3" s="60" t="s">
        <v>52</v>
      </c>
      <c r="F3" s="62" t="s">
        <v>53</v>
      </c>
    </row>
    <row r="4" spans="1:6" x14ac:dyDescent="0.3">
      <c r="A4" s="63" t="s">
        <v>651</v>
      </c>
      <c r="B4" s="54"/>
      <c r="C4" s="54"/>
      <c r="D4" s="55" t="e">
        <f>IF(#REF!=COUNTA(A5:A7),Critério!$B$5,SUMPRODUCT(#REF!,#REF!)/SUM(#REF!))</f>
        <v>#REF!</v>
      </c>
      <c r="E4" s="54"/>
      <c r="F4" s="64"/>
    </row>
    <row r="5" spans="1:6" ht="60" customHeight="1" x14ac:dyDescent="0.3">
      <c r="A5" s="68" t="s">
        <v>652</v>
      </c>
      <c r="B5" s="56" t="s">
        <v>653</v>
      </c>
      <c r="C5" s="96" t="s">
        <v>654</v>
      </c>
      <c r="D5" s="57">
        <v>3</v>
      </c>
      <c r="E5" s="58" t="s">
        <v>31</v>
      </c>
      <c r="F5" s="98"/>
    </row>
    <row r="6" spans="1:6" ht="107.25" customHeight="1" x14ac:dyDescent="0.3">
      <c r="A6" s="68" t="s">
        <v>655</v>
      </c>
      <c r="B6" s="56" t="s">
        <v>656</v>
      </c>
      <c r="C6" s="56" t="s">
        <v>657</v>
      </c>
      <c r="D6" s="57">
        <v>3</v>
      </c>
      <c r="E6" s="58" t="s">
        <v>31</v>
      </c>
      <c r="F6" s="99"/>
    </row>
    <row r="7" spans="1:6" ht="60.75" customHeight="1" x14ac:dyDescent="0.3">
      <c r="A7" s="68" t="s">
        <v>658</v>
      </c>
      <c r="B7" s="56" t="s">
        <v>659</v>
      </c>
      <c r="C7" s="96" t="s">
        <v>660</v>
      </c>
      <c r="D7" s="57">
        <v>3</v>
      </c>
      <c r="E7" s="58" t="s">
        <v>31</v>
      </c>
      <c r="F7" s="98"/>
    </row>
    <row r="8" spans="1:6" ht="15.75" customHeight="1" x14ac:dyDescent="0.3">
      <c r="A8" s="63" t="s">
        <v>661</v>
      </c>
      <c r="B8" s="97"/>
      <c r="C8" s="97"/>
      <c r="D8" s="55" t="e">
        <f>IF(#REF!=COUNTA(A9),Critério!$B$5,SUMPRODUCT(#REF!,#REF!)/SUM(#REF!))</f>
        <v>#REF!</v>
      </c>
      <c r="E8" s="97"/>
      <c r="F8" s="64"/>
    </row>
    <row r="9" spans="1:6" ht="111" customHeight="1" x14ac:dyDescent="0.3">
      <c r="A9" s="68" t="s">
        <v>662</v>
      </c>
      <c r="B9" s="56" t="s">
        <v>663</v>
      </c>
      <c r="C9" s="76" t="s">
        <v>664</v>
      </c>
      <c r="D9" s="57">
        <v>3</v>
      </c>
      <c r="E9" s="58" t="s">
        <v>31</v>
      </c>
      <c r="F9" s="98"/>
    </row>
    <row r="10" spans="1:6" x14ac:dyDescent="0.3">
      <c r="A10" s="63" t="s">
        <v>665</v>
      </c>
      <c r="B10" s="54"/>
      <c r="C10" s="54"/>
      <c r="D10" s="55" t="e">
        <f>IF(#REF!=COUNTA(A11:A14),Critério!$B$5,SUMPRODUCT(#REF!,#REF!)/SUM(#REF!))</f>
        <v>#REF!</v>
      </c>
      <c r="E10" s="54"/>
      <c r="F10" s="64"/>
    </row>
    <row r="11" spans="1:6" ht="63.6" customHeight="1" x14ac:dyDescent="0.3">
      <c r="A11" s="68" t="s">
        <v>666</v>
      </c>
      <c r="B11" s="56" t="s">
        <v>667</v>
      </c>
      <c r="C11" s="56" t="s">
        <v>668</v>
      </c>
      <c r="D11" s="57">
        <v>3</v>
      </c>
      <c r="E11" s="58" t="s">
        <v>31</v>
      </c>
      <c r="F11" s="98"/>
    </row>
    <row r="12" spans="1:6" ht="84" customHeight="1" x14ac:dyDescent="0.3">
      <c r="A12" s="68" t="s">
        <v>669</v>
      </c>
      <c r="B12" s="56" t="s">
        <v>670</v>
      </c>
      <c r="C12" s="56" t="s">
        <v>671</v>
      </c>
      <c r="D12" s="57">
        <v>3</v>
      </c>
      <c r="E12" s="58" t="s">
        <v>31</v>
      </c>
      <c r="F12" s="98"/>
    </row>
    <row r="13" spans="1:6" ht="66.75" customHeight="1" x14ac:dyDescent="0.3">
      <c r="A13" s="68" t="s">
        <v>672</v>
      </c>
      <c r="B13" s="56" t="s">
        <v>673</v>
      </c>
      <c r="C13" s="96" t="s">
        <v>674</v>
      </c>
      <c r="D13" s="57">
        <v>3</v>
      </c>
      <c r="E13" s="58" t="s">
        <v>31</v>
      </c>
      <c r="F13" s="98"/>
    </row>
    <row r="14" spans="1:6" ht="67.5" customHeight="1" thickBot="1" x14ac:dyDescent="0.35">
      <c r="A14" s="100" t="s">
        <v>675</v>
      </c>
      <c r="B14" s="72" t="s">
        <v>676</v>
      </c>
      <c r="C14" s="101" t="s">
        <v>677</v>
      </c>
      <c r="D14" s="73">
        <v>3</v>
      </c>
      <c r="E14" s="74" t="s">
        <v>31</v>
      </c>
      <c r="F14" s="102"/>
    </row>
  </sheetData>
  <autoFilter ref="A3:F3" xr:uid="{00000000-0001-0000-0C00-000000000000}"/>
  <mergeCells count="1">
    <mergeCell ref="A1:F2"/>
  </mergeCells>
  <phoneticPr fontId="12" type="noConversion"/>
  <conditionalFormatting sqref="A3">
    <cfRule type="duplicateValues" dxfId="186" priority="88"/>
  </conditionalFormatting>
  <conditionalFormatting sqref="A4">
    <cfRule type="duplicateValues" dxfId="185" priority="84"/>
  </conditionalFormatting>
  <conditionalFormatting sqref="A5:A7">
    <cfRule type="duplicateValues" dxfId="184" priority="80"/>
  </conditionalFormatting>
  <conditionalFormatting sqref="A9">
    <cfRule type="duplicateValues" dxfId="183" priority="79"/>
  </conditionalFormatting>
  <conditionalFormatting sqref="A11:A14">
    <cfRule type="duplicateValues" dxfId="182" priority="86"/>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11266"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11266"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8" stopIfTrue="1" operator="equal" id="{9BC67B0C-6A6A-4B31-BBB1-37F405885380}">
            <xm:f>Critério!$B$10</xm:f>
            <x14:dxf>
              <fill>
                <patternFill>
                  <bgColor rgb="FF0070C0"/>
                </patternFill>
              </fill>
            </x14:dxf>
          </x14:cfRule>
          <x14:cfRule type="cellIs" priority="9" stopIfTrue="1" operator="equal" id="{ECE84F1C-2BEE-47D5-B8BB-692C31CCFD46}">
            <xm:f>Critério!$B$9</xm:f>
            <x14:dxf>
              <fill>
                <patternFill>
                  <bgColor rgb="FF00FF00"/>
                </patternFill>
              </fill>
            </x14:dxf>
          </x14:cfRule>
          <x14:cfRule type="cellIs" priority="10" stopIfTrue="1" operator="equal" id="{374DC18F-6B98-4CC8-A35A-144BDD9B6D88}">
            <xm:f>Critério!$B$8</xm:f>
            <x14:dxf>
              <fill>
                <patternFill>
                  <bgColor rgb="FFFFFF00"/>
                </patternFill>
              </fill>
            </x14:dxf>
          </x14:cfRule>
          <x14:cfRule type="cellIs" priority="11" stopIfTrue="1" operator="equal" id="{C1AD12E2-2663-4E8D-96D9-5CC526339B62}">
            <xm:f>Critério!$B$7</xm:f>
            <x14:dxf>
              <fill>
                <patternFill>
                  <bgColor rgb="FFFF0000"/>
                </patternFill>
              </fill>
            </x14:dxf>
          </x14:cfRule>
          <x14:cfRule type="cellIs" priority="12" stopIfTrue="1" operator="equal" id="{21672FCF-99A6-4973-8FEE-ABCA2A54DC55}">
            <xm:f>Critério!$B$6</xm:f>
            <x14:dxf>
              <fill>
                <patternFill>
                  <bgColor rgb="FFC00000"/>
                </patternFill>
              </fill>
            </x14:dxf>
          </x14:cfRule>
          <x14:cfRule type="cellIs" priority="13" stopIfTrue="1" operator="equal" id="{2BD3664F-1BFF-4A88-8221-ACE3B54DA0D2}">
            <xm:f>Critério!$B$5</xm:f>
            <x14:dxf>
              <fill>
                <patternFill>
                  <bgColor rgb="FFFFC000"/>
                </patternFill>
              </fill>
            </x14:dxf>
          </x14:cfRule>
          <xm:sqref>D5:D7</xm:sqref>
        </x14:conditionalFormatting>
        <x14:conditionalFormatting xmlns:xm="http://schemas.microsoft.com/office/excel/2006/main">
          <x14:cfRule type="cellIs" priority="21" stopIfTrue="1" operator="equal" id="{C7FCB35F-29A5-44A7-8C12-581BC123840B}">
            <xm:f>Critério!$B$10</xm:f>
            <x14:dxf>
              <fill>
                <patternFill>
                  <bgColor rgb="FF0070C0"/>
                </patternFill>
              </fill>
            </x14:dxf>
          </x14:cfRule>
          <x14:cfRule type="cellIs" priority="22" stopIfTrue="1" operator="equal" id="{662F2AAC-7537-4A93-B350-DA489BF909DD}">
            <xm:f>Critério!$B$9</xm:f>
            <x14:dxf>
              <fill>
                <patternFill>
                  <bgColor rgb="FF00FF00"/>
                </patternFill>
              </fill>
            </x14:dxf>
          </x14:cfRule>
          <x14:cfRule type="cellIs" priority="23" stopIfTrue="1" operator="equal" id="{697E67EF-EF8E-47B6-BA88-784CE6A065D3}">
            <xm:f>Critério!$B$8</xm:f>
            <x14:dxf>
              <fill>
                <patternFill>
                  <bgColor rgb="FFFFFF00"/>
                </patternFill>
              </fill>
            </x14:dxf>
          </x14:cfRule>
          <x14:cfRule type="cellIs" priority="24" stopIfTrue="1" operator="equal" id="{AE6C6F79-AFF0-4445-974F-1DFBE2685C8C}">
            <xm:f>Critério!$B$7</xm:f>
            <x14:dxf>
              <fill>
                <patternFill>
                  <bgColor rgb="FFFF0000"/>
                </patternFill>
              </fill>
            </x14:dxf>
          </x14:cfRule>
          <x14:cfRule type="cellIs" priority="25" stopIfTrue="1" operator="equal" id="{AB456847-74E5-4E88-8B6A-FED49FBDBF07}">
            <xm:f>Critério!$B$6</xm:f>
            <x14:dxf>
              <fill>
                <patternFill>
                  <bgColor rgb="FFC00000"/>
                </patternFill>
              </fill>
            </x14:dxf>
          </x14:cfRule>
          <x14:cfRule type="cellIs" priority="26" stopIfTrue="1" operator="equal" id="{C197A6BE-5EB6-47EE-93E1-6638A5A74050}">
            <xm:f>Critério!$B$5</xm:f>
            <x14:dxf>
              <fill>
                <patternFill>
                  <bgColor rgb="FFFFC000"/>
                </patternFill>
              </fill>
            </x14:dxf>
          </x14:cfRule>
          <xm:sqref>D9</xm:sqref>
        </x14:conditionalFormatting>
        <x14:conditionalFormatting xmlns:xm="http://schemas.microsoft.com/office/excel/2006/main">
          <x14:cfRule type="cellIs" priority="34" stopIfTrue="1" operator="equal" id="{9DC68A54-ECB0-4B30-A5AC-D1B41C092E00}">
            <xm:f>Critério!$B$10</xm:f>
            <x14:dxf>
              <fill>
                <patternFill>
                  <bgColor rgb="FF0070C0"/>
                </patternFill>
              </fill>
            </x14:dxf>
          </x14:cfRule>
          <x14:cfRule type="cellIs" priority="35" stopIfTrue="1" operator="equal" id="{1DA1C6B9-8197-4AFE-822D-9069ED58BB02}">
            <xm:f>Critério!$B$9</xm:f>
            <x14:dxf>
              <fill>
                <patternFill>
                  <bgColor rgb="FF00FF00"/>
                </patternFill>
              </fill>
            </x14:dxf>
          </x14:cfRule>
          <x14:cfRule type="cellIs" priority="36" stopIfTrue="1" operator="equal" id="{E3D1AD10-7BE0-4944-8A66-4821822D39C8}">
            <xm:f>Critério!$B$8</xm:f>
            <x14:dxf>
              <fill>
                <patternFill>
                  <bgColor rgb="FFFFFF00"/>
                </patternFill>
              </fill>
            </x14:dxf>
          </x14:cfRule>
          <x14:cfRule type="cellIs" priority="37" stopIfTrue="1" operator="equal" id="{A95F4C89-6711-4360-8A04-C757EC7BE4E8}">
            <xm:f>Critério!$B$7</xm:f>
            <x14:dxf>
              <fill>
                <patternFill>
                  <bgColor rgb="FFFF0000"/>
                </patternFill>
              </fill>
            </x14:dxf>
          </x14:cfRule>
          <x14:cfRule type="cellIs" priority="38" stopIfTrue="1" operator="equal" id="{052E3289-51F9-4E2D-8ACD-66E51167C9BE}">
            <xm:f>Critério!$B$6</xm:f>
            <x14:dxf>
              <fill>
                <patternFill>
                  <bgColor rgb="FFC00000"/>
                </patternFill>
              </fill>
            </x14:dxf>
          </x14:cfRule>
          <x14:cfRule type="cellIs" priority="39" stopIfTrue="1" operator="equal" id="{D06CF4B4-3C1C-459C-8FA6-D7C021E272BA}">
            <xm:f>Critério!$B$5</xm:f>
            <x14:dxf>
              <fill>
                <patternFill>
                  <bgColor rgb="FFFFC000"/>
                </patternFill>
              </fill>
            </x14:dxf>
          </x14:cfRule>
          <xm:sqref>D11:D14</xm:sqref>
        </x14:conditionalFormatting>
        <x14:conditionalFormatting xmlns:xm="http://schemas.microsoft.com/office/excel/2006/main">
          <x14:cfRule type="cellIs" priority="1" operator="equal" id="{68FA3D8E-7408-49CD-A1A6-79E69B3B1E1E}">
            <xm:f>Critério!$B$14</xm:f>
            <x14:dxf>
              <fill>
                <patternFill>
                  <bgColor rgb="FFFFC000"/>
                </patternFill>
              </fill>
            </x14:dxf>
          </x14:cfRule>
          <x14:cfRule type="cellIs" priority="2" operator="equal" id="{C83C8CFD-2005-47D6-AB53-EE4FD2DE1DC5}">
            <xm:f>Critério!$B$15</xm:f>
            <x14:dxf>
              <fill>
                <patternFill>
                  <bgColor rgb="FFC00000"/>
                </patternFill>
              </fill>
            </x14:dxf>
          </x14:cfRule>
          <x14:cfRule type="cellIs" priority="3" operator="equal" id="{91E8698C-C41E-47FF-9F27-EAE6B0AFEB02}">
            <xm:f>Critério!$B$16</xm:f>
            <x14:dxf>
              <fill>
                <patternFill>
                  <bgColor rgb="FFFF0000"/>
                </patternFill>
              </fill>
            </x14:dxf>
          </x14:cfRule>
          <x14:cfRule type="cellIs" priority="4" operator="equal" id="{A91B3F4C-AF58-4E00-818A-49C50F94FAAD}">
            <xm:f>Critério!$B$17</xm:f>
            <x14:dxf>
              <fill>
                <patternFill>
                  <bgColor theme="9" tint="-0.24994659260841701"/>
                </patternFill>
              </fill>
            </x14:dxf>
          </x14:cfRule>
          <x14:cfRule type="cellIs" priority="5" operator="equal" id="{70532639-F13F-4EFC-964D-CE3317CCB05B}">
            <xm:f>Critério!$B$18</xm:f>
            <x14:dxf>
              <fill>
                <patternFill>
                  <bgColor rgb="FFFFFF00"/>
                </patternFill>
              </fill>
            </x14:dxf>
          </x14:cfRule>
          <x14:cfRule type="cellIs" priority="6" operator="equal" id="{5C788B24-3049-4556-AE57-1D517DD63615}">
            <xm:f>Critério!$B$19</xm:f>
            <x14:dxf>
              <fill>
                <patternFill>
                  <bgColor rgb="FF00FF00"/>
                </patternFill>
              </fill>
            </x14:dxf>
          </x14:cfRule>
          <x14:cfRule type="cellIs" priority="7" operator="equal" id="{EE2A3699-12E7-40CB-936C-B9A1D506511D}">
            <xm:f>Critério!$B$20</xm:f>
            <x14:dxf>
              <fill>
                <patternFill>
                  <bgColor rgb="FF0070C0"/>
                </patternFill>
              </fill>
            </x14:dxf>
          </x14:cfRule>
          <xm:sqref>E5:E7</xm:sqref>
        </x14:conditionalFormatting>
        <x14:conditionalFormatting xmlns:xm="http://schemas.microsoft.com/office/excel/2006/main">
          <x14:cfRule type="cellIs" priority="14" operator="equal" id="{CFA1AE59-8AED-4EA9-8C21-FC669EF95A7A}">
            <xm:f>Critério!$B$14</xm:f>
            <x14:dxf>
              <fill>
                <patternFill>
                  <bgColor rgb="FFFFC000"/>
                </patternFill>
              </fill>
            </x14:dxf>
          </x14:cfRule>
          <x14:cfRule type="cellIs" priority="15" operator="equal" id="{18DF3964-9EDB-409E-9CD0-4EBDFB02B305}">
            <xm:f>Critério!$B$15</xm:f>
            <x14:dxf>
              <fill>
                <patternFill>
                  <bgColor rgb="FFC00000"/>
                </patternFill>
              </fill>
            </x14:dxf>
          </x14:cfRule>
          <x14:cfRule type="cellIs" priority="16" operator="equal" id="{D0051D73-ECC0-4F22-B1E2-0E2C33664E6D}">
            <xm:f>Critério!$B$16</xm:f>
            <x14:dxf>
              <fill>
                <patternFill>
                  <bgColor rgb="FFFF0000"/>
                </patternFill>
              </fill>
            </x14:dxf>
          </x14:cfRule>
          <x14:cfRule type="cellIs" priority="17" operator="equal" id="{2A6C239A-A518-40C5-8857-CB2FFBF38AAF}">
            <xm:f>Critério!$B$17</xm:f>
            <x14:dxf>
              <fill>
                <patternFill>
                  <bgColor theme="9" tint="-0.24994659260841701"/>
                </patternFill>
              </fill>
            </x14:dxf>
          </x14:cfRule>
          <x14:cfRule type="cellIs" priority="18" operator="equal" id="{72E2B663-038E-471E-80E6-CE6AA1E04D9E}">
            <xm:f>Critério!$B$18</xm:f>
            <x14:dxf>
              <fill>
                <patternFill>
                  <bgColor rgb="FFFFFF00"/>
                </patternFill>
              </fill>
            </x14:dxf>
          </x14:cfRule>
          <x14:cfRule type="cellIs" priority="19" operator="equal" id="{27CD93CB-8297-4386-91E7-3AF5C4B8933C}">
            <xm:f>Critério!$B$19</xm:f>
            <x14:dxf>
              <fill>
                <patternFill>
                  <bgColor rgb="FF00FF00"/>
                </patternFill>
              </fill>
            </x14:dxf>
          </x14:cfRule>
          <x14:cfRule type="cellIs" priority="20" operator="equal" id="{3588F5CA-5553-4958-80F8-1109078A401D}">
            <xm:f>Critério!$B$20</xm:f>
            <x14:dxf>
              <fill>
                <patternFill>
                  <bgColor rgb="FF0070C0"/>
                </patternFill>
              </fill>
            </x14:dxf>
          </x14:cfRule>
          <xm:sqref>E9</xm:sqref>
        </x14:conditionalFormatting>
        <x14:conditionalFormatting xmlns:xm="http://schemas.microsoft.com/office/excel/2006/main">
          <x14:cfRule type="cellIs" priority="27" operator="equal" id="{CD96490B-437E-4CF3-ADFD-737CF1D9474E}">
            <xm:f>Critério!$B$14</xm:f>
            <x14:dxf>
              <fill>
                <patternFill>
                  <bgColor rgb="FFFFC000"/>
                </patternFill>
              </fill>
            </x14:dxf>
          </x14:cfRule>
          <x14:cfRule type="cellIs" priority="28" operator="equal" id="{60748F4A-4EB0-47B6-99B9-4806A52BAC23}">
            <xm:f>Critério!$B$15</xm:f>
            <x14:dxf>
              <fill>
                <patternFill>
                  <bgColor rgb="FFC00000"/>
                </patternFill>
              </fill>
            </x14:dxf>
          </x14:cfRule>
          <x14:cfRule type="cellIs" priority="29" operator="equal" id="{D20D59BD-6BD5-41E8-B62A-F0BA16CB97A5}">
            <xm:f>Critério!$B$16</xm:f>
            <x14:dxf>
              <fill>
                <patternFill>
                  <bgColor rgb="FFFF0000"/>
                </patternFill>
              </fill>
            </x14:dxf>
          </x14:cfRule>
          <x14:cfRule type="cellIs" priority="30" operator="equal" id="{DC0ABF76-DD8D-45D9-93DC-6FA6D6267BE5}">
            <xm:f>Critério!$B$17</xm:f>
            <x14:dxf>
              <fill>
                <patternFill>
                  <bgColor theme="9" tint="-0.24994659260841701"/>
                </patternFill>
              </fill>
            </x14:dxf>
          </x14:cfRule>
          <x14:cfRule type="cellIs" priority="31" operator="equal" id="{983D9078-28AB-41EC-B771-7607B8B10FC7}">
            <xm:f>Critério!$B$18</xm:f>
            <x14:dxf>
              <fill>
                <patternFill>
                  <bgColor rgb="FFFFFF00"/>
                </patternFill>
              </fill>
            </x14:dxf>
          </x14:cfRule>
          <x14:cfRule type="cellIs" priority="32" operator="equal" id="{1230C998-1433-4DFC-92C1-96B070A52B09}">
            <xm:f>Critério!$B$19</xm:f>
            <x14:dxf>
              <fill>
                <patternFill>
                  <bgColor rgb="FF00FF00"/>
                </patternFill>
              </fill>
            </x14:dxf>
          </x14:cfRule>
          <x14:cfRule type="cellIs" priority="33" operator="equal" id="{52B27965-F6CB-4747-A575-FBC46A0FF957}">
            <xm:f>Critério!$B$20</xm:f>
            <x14:dxf>
              <fill>
                <patternFill>
                  <bgColor rgb="FF0070C0"/>
                </patternFill>
              </fill>
            </x14:dxf>
          </x14:cfRule>
          <xm:sqref>E11:E14</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841147A5-7F7A-4884-8E7A-20C8EDB8A5E5}">
          <x14:formula1>
            <xm:f>Critério!$B$14:$B$20</xm:f>
          </x14:formula1>
          <xm:sqref>E9 E11:E14 E5:E7</xm:sqref>
        </x14:dataValidation>
        <x14:dataValidation type="list" allowBlank="1" showInputMessage="1" showErrorMessage="1" xr:uid="{1A986E5D-195E-465F-A17C-2422B04860B3}">
          <x14:formula1>
            <xm:f>Critério!$B$5:$B$10</xm:f>
          </x14:formula1>
          <xm:sqref>D9 D11:D14 D5:D7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18"/>
  <sheetViews>
    <sheetView showGridLines="0" zoomScaleNormal="100" workbookViewId="0">
      <selection activeCell="H3" sqref="H1:J1048576"/>
    </sheetView>
  </sheetViews>
  <sheetFormatPr defaultColWidth="56.554687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678</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61" t="e">
        <f>IF(#REF!=Critério!$B$5,Critério!$B$5,SUM(IF(D4=Critério!$B$5,100%,D4)*SUM(#REF!),IF(D13=Critério!$B$5,100%,D13)*SUM(#REF!),IF(D17=Critério!$B$5,100%,D17)*SUM(#REF!)))/#REF!</f>
        <v>#REF!</v>
      </c>
      <c r="E3" s="60" t="s">
        <v>52</v>
      </c>
      <c r="F3" s="62" t="s">
        <v>53</v>
      </c>
    </row>
    <row r="4" spans="1:6" x14ac:dyDescent="0.3">
      <c r="A4" s="87" t="s">
        <v>679</v>
      </c>
      <c r="B4" s="83"/>
      <c r="C4" s="83"/>
      <c r="D4" s="55" t="e">
        <f>IF(#REF!=COUNTA(A5:A12),Critério!$B$5,SUMPRODUCT(#REF!,#REF!)/SUM(#REF!))</f>
        <v>#REF!</v>
      </c>
      <c r="E4" s="83"/>
      <c r="F4" s="88"/>
    </row>
    <row r="5" spans="1:6" ht="201.6" customHeight="1" x14ac:dyDescent="0.3">
      <c r="A5" s="89" t="s">
        <v>680</v>
      </c>
      <c r="B5" s="84" t="s">
        <v>681</v>
      </c>
      <c r="C5" s="84" t="s">
        <v>682</v>
      </c>
      <c r="D5" s="57">
        <v>3</v>
      </c>
      <c r="E5" s="58" t="s">
        <v>31</v>
      </c>
      <c r="F5" s="90"/>
    </row>
    <row r="6" spans="1:6" ht="44.25" customHeight="1" x14ac:dyDescent="0.3">
      <c r="A6" s="89" t="s">
        <v>683</v>
      </c>
      <c r="B6" s="84" t="s">
        <v>684</v>
      </c>
      <c r="C6" s="84" t="s">
        <v>685</v>
      </c>
      <c r="D6" s="57">
        <v>3</v>
      </c>
      <c r="E6" s="58" t="s">
        <v>31</v>
      </c>
      <c r="F6" s="90"/>
    </row>
    <row r="7" spans="1:6" ht="63.6" customHeight="1" x14ac:dyDescent="0.3">
      <c r="A7" s="89" t="s">
        <v>686</v>
      </c>
      <c r="B7" s="85" t="s">
        <v>687</v>
      </c>
      <c r="C7" s="84" t="s">
        <v>688</v>
      </c>
      <c r="D7" s="57">
        <v>3</v>
      </c>
      <c r="E7" s="58" t="s">
        <v>31</v>
      </c>
      <c r="F7" s="90"/>
    </row>
    <row r="8" spans="1:6" ht="57.75" customHeight="1" x14ac:dyDescent="0.3">
      <c r="A8" s="89" t="s">
        <v>689</v>
      </c>
      <c r="B8" s="85" t="s">
        <v>690</v>
      </c>
      <c r="C8" s="84" t="s">
        <v>691</v>
      </c>
      <c r="D8" s="57">
        <v>3</v>
      </c>
      <c r="E8" s="58" t="s">
        <v>31</v>
      </c>
      <c r="F8" s="90"/>
    </row>
    <row r="9" spans="1:6" ht="57.75" customHeight="1" x14ac:dyDescent="0.3">
      <c r="A9" s="89" t="s">
        <v>692</v>
      </c>
      <c r="B9" s="85" t="s">
        <v>693</v>
      </c>
      <c r="C9" s="84" t="s">
        <v>694</v>
      </c>
      <c r="D9" s="57">
        <v>3</v>
      </c>
      <c r="E9" s="58" t="s">
        <v>31</v>
      </c>
      <c r="F9" s="90"/>
    </row>
    <row r="10" spans="1:6" ht="165.75" customHeight="1" x14ac:dyDescent="0.3">
      <c r="A10" s="89" t="s">
        <v>695</v>
      </c>
      <c r="B10" s="84" t="s">
        <v>696</v>
      </c>
      <c r="C10" s="84" t="s">
        <v>697</v>
      </c>
      <c r="D10" s="57">
        <v>3</v>
      </c>
      <c r="E10" s="58" t="s">
        <v>31</v>
      </c>
      <c r="F10" s="90"/>
    </row>
    <row r="11" spans="1:6" ht="69" customHeight="1" x14ac:dyDescent="0.3">
      <c r="A11" s="89" t="s">
        <v>698</v>
      </c>
      <c r="B11" s="84" t="s">
        <v>699</v>
      </c>
      <c r="C11" s="84" t="s">
        <v>700</v>
      </c>
      <c r="D11" s="57">
        <v>3</v>
      </c>
      <c r="E11" s="58" t="s">
        <v>31</v>
      </c>
      <c r="F11" s="90"/>
    </row>
    <row r="12" spans="1:6" ht="62.25" customHeight="1" x14ac:dyDescent="0.3">
      <c r="A12" s="89" t="s">
        <v>701</v>
      </c>
      <c r="B12" s="84" t="s">
        <v>702</v>
      </c>
      <c r="C12" s="84" t="s">
        <v>703</v>
      </c>
      <c r="D12" s="57">
        <v>3</v>
      </c>
      <c r="E12" s="58" t="s">
        <v>31</v>
      </c>
      <c r="F12" s="90"/>
    </row>
    <row r="13" spans="1:6" x14ac:dyDescent="0.3">
      <c r="A13" s="87" t="s">
        <v>704</v>
      </c>
      <c r="B13" s="83"/>
      <c r="C13" s="83"/>
      <c r="D13" s="55" t="e">
        <f>IF(#REF!=COUNTA(A14:A16),Critério!$B$5,SUMPRODUCT(#REF!,#REF!)/SUM(#REF!))</f>
        <v>#REF!</v>
      </c>
      <c r="E13" s="83"/>
      <c r="F13" s="88"/>
    </row>
    <row r="14" spans="1:6" ht="138.75" customHeight="1" x14ac:dyDescent="0.3">
      <c r="A14" s="91" t="s">
        <v>705</v>
      </c>
      <c r="B14" s="84" t="s">
        <v>706</v>
      </c>
      <c r="C14" s="84" t="s">
        <v>707</v>
      </c>
      <c r="D14" s="57">
        <v>3</v>
      </c>
      <c r="E14" s="58" t="s">
        <v>31</v>
      </c>
      <c r="F14" s="90"/>
    </row>
    <row r="15" spans="1:6" ht="69.75" customHeight="1" x14ac:dyDescent="0.3">
      <c r="A15" s="91" t="s">
        <v>708</v>
      </c>
      <c r="B15" s="84" t="s">
        <v>709</v>
      </c>
      <c r="C15" s="84" t="s">
        <v>710</v>
      </c>
      <c r="D15" s="57">
        <v>3</v>
      </c>
      <c r="E15" s="58" t="s">
        <v>31</v>
      </c>
      <c r="F15" s="90"/>
    </row>
    <row r="16" spans="1:6" ht="80.099999999999994" customHeight="1" x14ac:dyDescent="0.3">
      <c r="A16" s="91" t="s">
        <v>711</v>
      </c>
      <c r="B16" s="84" t="s">
        <v>712</v>
      </c>
      <c r="C16" s="84" t="s">
        <v>713</v>
      </c>
      <c r="D16" s="57">
        <v>3</v>
      </c>
      <c r="E16" s="58" t="s">
        <v>31</v>
      </c>
      <c r="F16" s="90"/>
    </row>
    <row r="17" spans="1:6" x14ac:dyDescent="0.3">
      <c r="A17" s="87" t="s">
        <v>714</v>
      </c>
      <c r="B17" s="83"/>
      <c r="C17" s="86"/>
      <c r="D17" s="55" t="e">
        <f>IF(#REF!=COUNTA(A18),Critério!$B$5,SUMPRODUCT(#REF!,#REF!)/SUM(#REF!))</f>
        <v>#REF!</v>
      </c>
      <c r="E17" s="86"/>
      <c r="F17" s="92"/>
    </row>
    <row r="18" spans="1:6" ht="99.6" customHeight="1" thickBot="1" x14ac:dyDescent="0.35">
      <c r="A18" s="93" t="s">
        <v>715</v>
      </c>
      <c r="B18" s="94" t="s">
        <v>716</v>
      </c>
      <c r="C18" s="94" t="s">
        <v>717</v>
      </c>
      <c r="D18" s="73">
        <v>3</v>
      </c>
      <c r="E18" s="74" t="s">
        <v>31</v>
      </c>
      <c r="F18" s="95"/>
    </row>
  </sheetData>
  <autoFilter ref="A3:F3" xr:uid="{00000000-0001-0000-0D00-000000000000}"/>
  <mergeCells count="1">
    <mergeCell ref="A1:F2"/>
  </mergeCells>
  <phoneticPr fontId="12" type="noConversion"/>
  <conditionalFormatting sqref="A3">
    <cfRule type="duplicateValues" dxfId="142" priority="92"/>
  </conditionalFormatting>
  <conditionalFormatting sqref="A4">
    <cfRule type="duplicateValues" dxfId="141" priority="87"/>
  </conditionalFormatting>
  <conditionalFormatting sqref="A5:A12 A14:A16">
    <cfRule type="expression" dxfId="140" priority="95" stopIfTrue="1">
      <formula>AND(COUNTIF($A$5:$A$12, A5)+COUNTIF($A$14:$A$16, A5)&gt;1,NOT(ISBLANK(A5)))</formula>
    </cfRule>
  </conditionalFormatting>
  <conditionalFormatting sqref="A13">
    <cfRule type="duplicateValues" dxfId="139" priority="86"/>
  </conditionalFormatting>
  <conditionalFormatting sqref="A17">
    <cfRule type="duplicateValues" dxfId="138" priority="85"/>
  </conditionalFormatting>
  <conditionalFormatting sqref="A18">
    <cfRule type="duplicateValues" dxfId="137" priority="88"/>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12290"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12290"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8" stopIfTrue="1" operator="equal" id="{CFCBB3F2-1638-4E87-8A82-5B31C0DE4970}">
            <xm:f>Critério!$B$10</xm:f>
            <x14:dxf>
              <fill>
                <patternFill>
                  <bgColor rgb="FF0070C0"/>
                </patternFill>
              </fill>
            </x14:dxf>
          </x14:cfRule>
          <x14:cfRule type="cellIs" priority="9" stopIfTrue="1" operator="equal" id="{00A016EC-4985-4A11-9866-BEB44D1ACDCD}">
            <xm:f>Critério!$B$9</xm:f>
            <x14:dxf>
              <fill>
                <patternFill>
                  <bgColor rgb="FF00FF00"/>
                </patternFill>
              </fill>
            </x14:dxf>
          </x14:cfRule>
          <x14:cfRule type="cellIs" priority="10" stopIfTrue="1" operator="equal" id="{F673DA79-6530-43D7-8753-7DFCC0F13D50}">
            <xm:f>Critério!$B$8</xm:f>
            <x14:dxf>
              <fill>
                <patternFill>
                  <bgColor rgb="FFFFFF00"/>
                </patternFill>
              </fill>
            </x14:dxf>
          </x14:cfRule>
          <x14:cfRule type="cellIs" priority="11" stopIfTrue="1" operator="equal" id="{99435768-CF40-43CA-9249-EB63CE1695F5}">
            <xm:f>Critério!$B$7</xm:f>
            <x14:dxf>
              <fill>
                <patternFill>
                  <bgColor rgb="FFFF0000"/>
                </patternFill>
              </fill>
            </x14:dxf>
          </x14:cfRule>
          <x14:cfRule type="cellIs" priority="12" stopIfTrue="1" operator="equal" id="{D11F6F9E-B95A-4DF5-B44B-2173067364A7}">
            <xm:f>Critério!$B$6</xm:f>
            <x14:dxf>
              <fill>
                <patternFill>
                  <bgColor rgb="FFC00000"/>
                </patternFill>
              </fill>
            </x14:dxf>
          </x14:cfRule>
          <x14:cfRule type="cellIs" priority="13" stopIfTrue="1" operator="equal" id="{86E58C80-9C5B-49B8-81A4-F9241F1F46EA}">
            <xm:f>Critério!$B$5</xm:f>
            <x14:dxf>
              <fill>
                <patternFill>
                  <bgColor rgb="FFFFC000"/>
                </patternFill>
              </fill>
            </x14:dxf>
          </x14:cfRule>
          <xm:sqref>D5:D12</xm:sqref>
        </x14:conditionalFormatting>
        <x14:conditionalFormatting xmlns:xm="http://schemas.microsoft.com/office/excel/2006/main">
          <x14:cfRule type="cellIs" priority="21" stopIfTrue="1" operator="equal" id="{A9969A82-52C8-493E-90D3-28AE7BC9898A}">
            <xm:f>Critério!$B$10</xm:f>
            <x14:dxf>
              <fill>
                <patternFill>
                  <bgColor rgb="FF0070C0"/>
                </patternFill>
              </fill>
            </x14:dxf>
          </x14:cfRule>
          <x14:cfRule type="cellIs" priority="22" stopIfTrue="1" operator="equal" id="{1055F665-4DE2-4D20-91AF-9B44852A11D5}">
            <xm:f>Critério!$B$9</xm:f>
            <x14:dxf>
              <fill>
                <patternFill>
                  <bgColor rgb="FF00FF00"/>
                </patternFill>
              </fill>
            </x14:dxf>
          </x14:cfRule>
          <x14:cfRule type="cellIs" priority="23" stopIfTrue="1" operator="equal" id="{A04E3A77-A725-4042-AA15-75CF8735C69A}">
            <xm:f>Critério!$B$8</xm:f>
            <x14:dxf>
              <fill>
                <patternFill>
                  <bgColor rgb="FFFFFF00"/>
                </patternFill>
              </fill>
            </x14:dxf>
          </x14:cfRule>
          <x14:cfRule type="cellIs" priority="24" stopIfTrue="1" operator="equal" id="{B21A94A4-1335-405C-881D-B08BE6192180}">
            <xm:f>Critério!$B$7</xm:f>
            <x14:dxf>
              <fill>
                <patternFill>
                  <bgColor rgb="FFFF0000"/>
                </patternFill>
              </fill>
            </x14:dxf>
          </x14:cfRule>
          <x14:cfRule type="cellIs" priority="25" stopIfTrue="1" operator="equal" id="{DE323E29-9ABE-4DAA-9FB4-E93489B11E86}">
            <xm:f>Critério!$B$6</xm:f>
            <x14:dxf>
              <fill>
                <patternFill>
                  <bgColor rgb="FFC00000"/>
                </patternFill>
              </fill>
            </x14:dxf>
          </x14:cfRule>
          <x14:cfRule type="cellIs" priority="26" stopIfTrue="1" operator="equal" id="{C413E3EB-7FCF-4153-830B-F85FD7EBB440}">
            <xm:f>Critério!$B$5</xm:f>
            <x14:dxf>
              <fill>
                <patternFill>
                  <bgColor rgb="FFFFC000"/>
                </patternFill>
              </fill>
            </x14:dxf>
          </x14:cfRule>
          <xm:sqref>D14:D16</xm:sqref>
        </x14:conditionalFormatting>
        <x14:conditionalFormatting xmlns:xm="http://schemas.microsoft.com/office/excel/2006/main">
          <x14:cfRule type="cellIs" priority="34" stopIfTrue="1" operator="equal" id="{0C84002B-7358-49BC-B4CE-503289E7AC5F}">
            <xm:f>Critério!$B$10</xm:f>
            <x14:dxf>
              <fill>
                <patternFill>
                  <bgColor rgb="FF0070C0"/>
                </patternFill>
              </fill>
            </x14:dxf>
          </x14:cfRule>
          <x14:cfRule type="cellIs" priority="35" stopIfTrue="1" operator="equal" id="{EE799048-E1F5-4EDA-B638-FFBA3E980711}">
            <xm:f>Critério!$B$9</xm:f>
            <x14:dxf>
              <fill>
                <patternFill>
                  <bgColor rgb="FF00FF00"/>
                </patternFill>
              </fill>
            </x14:dxf>
          </x14:cfRule>
          <x14:cfRule type="cellIs" priority="36" stopIfTrue="1" operator="equal" id="{57326CB4-A99A-4383-B9B2-AA0E9F45E83B}">
            <xm:f>Critério!$B$8</xm:f>
            <x14:dxf>
              <fill>
                <patternFill>
                  <bgColor rgb="FFFFFF00"/>
                </patternFill>
              </fill>
            </x14:dxf>
          </x14:cfRule>
          <x14:cfRule type="cellIs" priority="37" stopIfTrue="1" operator="equal" id="{DC5CFDE8-1DFC-4B82-A1A0-D06AFE09F501}">
            <xm:f>Critério!$B$7</xm:f>
            <x14:dxf>
              <fill>
                <patternFill>
                  <bgColor rgb="FFFF0000"/>
                </patternFill>
              </fill>
            </x14:dxf>
          </x14:cfRule>
          <x14:cfRule type="cellIs" priority="38" stopIfTrue="1" operator="equal" id="{90608B97-5B90-4430-A167-22AE6A64F110}">
            <xm:f>Critério!$B$6</xm:f>
            <x14:dxf>
              <fill>
                <patternFill>
                  <bgColor rgb="FFC00000"/>
                </patternFill>
              </fill>
            </x14:dxf>
          </x14:cfRule>
          <x14:cfRule type="cellIs" priority="39" stopIfTrue="1" operator="equal" id="{81EA6CB5-2FDD-4B97-B39D-A4DAB2937B02}">
            <xm:f>Critério!$B$5</xm:f>
            <x14:dxf>
              <fill>
                <patternFill>
                  <bgColor rgb="FFFFC000"/>
                </patternFill>
              </fill>
            </x14:dxf>
          </x14:cfRule>
          <xm:sqref>D18</xm:sqref>
        </x14:conditionalFormatting>
        <x14:conditionalFormatting xmlns:xm="http://schemas.microsoft.com/office/excel/2006/main">
          <x14:cfRule type="cellIs" priority="1" operator="equal" id="{F3F828AB-8B31-47B1-905A-512C4BEE77C5}">
            <xm:f>Critério!$B$14</xm:f>
            <x14:dxf>
              <fill>
                <patternFill>
                  <bgColor rgb="FFFFC000"/>
                </patternFill>
              </fill>
            </x14:dxf>
          </x14:cfRule>
          <x14:cfRule type="cellIs" priority="2" operator="equal" id="{7AAD3A56-3D69-4237-A72A-24D1BD9DC8BF}">
            <xm:f>Critério!$B$15</xm:f>
            <x14:dxf>
              <fill>
                <patternFill>
                  <bgColor rgb="FFC00000"/>
                </patternFill>
              </fill>
            </x14:dxf>
          </x14:cfRule>
          <x14:cfRule type="cellIs" priority="3" operator="equal" id="{EFDB1435-4338-4697-81DE-AF5EFA5D7A26}">
            <xm:f>Critério!$B$16</xm:f>
            <x14:dxf>
              <fill>
                <patternFill>
                  <bgColor rgb="FFFF0000"/>
                </patternFill>
              </fill>
            </x14:dxf>
          </x14:cfRule>
          <x14:cfRule type="cellIs" priority="4" operator="equal" id="{BC7B458F-6DC7-4968-B135-450B76D48FD7}">
            <xm:f>Critério!$B$17</xm:f>
            <x14:dxf>
              <fill>
                <patternFill>
                  <bgColor theme="9" tint="-0.24994659260841701"/>
                </patternFill>
              </fill>
            </x14:dxf>
          </x14:cfRule>
          <x14:cfRule type="cellIs" priority="5" operator="equal" id="{9932899B-DEAC-4315-8C4A-F66B77BC7B0C}">
            <xm:f>Critério!$B$18</xm:f>
            <x14:dxf>
              <fill>
                <patternFill>
                  <bgColor rgb="FFFFFF00"/>
                </patternFill>
              </fill>
            </x14:dxf>
          </x14:cfRule>
          <x14:cfRule type="cellIs" priority="6" operator="equal" id="{CE58C3FB-6374-4E3F-8E65-1E3D5E13FC42}">
            <xm:f>Critério!$B$19</xm:f>
            <x14:dxf>
              <fill>
                <patternFill>
                  <bgColor rgb="FF00FF00"/>
                </patternFill>
              </fill>
            </x14:dxf>
          </x14:cfRule>
          <x14:cfRule type="cellIs" priority="7" operator="equal" id="{C3179045-DA52-45C1-9219-DE3E38D70C72}">
            <xm:f>Critério!$B$20</xm:f>
            <x14:dxf>
              <fill>
                <patternFill>
                  <bgColor rgb="FF0070C0"/>
                </patternFill>
              </fill>
            </x14:dxf>
          </x14:cfRule>
          <xm:sqref>E5:E12</xm:sqref>
        </x14:conditionalFormatting>
        <x14:conditionalFormatting xmlns:xm="http://schemas.microsoft.com/office/excel/2006/main">
          <x14:cfRule type="cellIs" priority="14" operator="equal" id="{09F24831-13F6-4956-9DA0-5C75D76A992C}">
            <xm:f>Critério!$B$14</xm:f>
            <x14:dxf>
              <fill>
                <patternFill>
                  <bgColor rgb="FFFFC000"/>
                </patternFill>
              </fill>
            </x14:dxf>
          </x14:cfRule>
          <x14:cfRule type="cellIs" priority="15" operator="equal" id="{90F672BE-47CB-422D-ADDA-6C1884943BB2}">
            <xm:f>Critério!$B$15</xm:f>
            <x14:dxf>
              <fill>
                <patternFill>
                  <bgColor rgb="FFC00000"/>
                </patternFill>
              </fill>
            </x14:dxf>
          </x14:cfRule>
          <x14:cfRule type="cellIs" priority="16" operator="equal" id="{53E97E8E-EA88-43EE-B579-A0AB74FD9B24}">
            <xm:f>Critério!$B$16</xm:f>
            <x14:dxf>
              <fill>
                <patternFill>
                  <bgColor rgb="FFFF0000"/>
                </patternFill>
              </fill>
            </x14:dxf>
          </x14:cfRule>
          <x14:cfRule type="cellIs" priority="17" operator="equal" id="{9A0D6ECA-ECCB-4D6D-A076-B43AAEBCAC11}">
            <xm:f>Critério!$B$17</xm:f>
            <x14:dxf>
              <fill>
                <patternFill>
                  <bgColor theme="9" tint="-0.24994659260841701"/>
                </patternFill>
              </fill>
            </x14:dxf>
          </x14:cfRule>
          <x14:cfRule type="cellIs" priority="18" operator="equal" id="{C807F908-8171-4302-AC36-81599BE758D3}">
            <xm:f>Critério!$B$18</xm:f>
            <x14:dxf>
              <fill>
                <patternFill>
                  <bgColor rgb="FFFFFF00"/>
                </patternFill>
              </fill>
            </x14:dxf>
          </x14:cfRule>
          <x14:cfRule type="cellIs" priority="19" operator="equal" id="{BCB6C1F6-804B-4319-AD09-618F696B62D1}">
            <xm:f>Critério!$B$19</xm:f>
            <x14:dxf>
              <fill>
                <patternFill>
                  <bgColor rgb="FF00FF00"/>
                </patternFill>
              </fill>
            </x14:dxf>
          </x14:cfRule>
          <x14:cfRule type="cellIs" priority="20" operator="equal" id="{411BAE7A-AC7E-4C19-9AEE-8AA6794C6024}">
            <xm:f>Critério!$B$20</xm:f>
            <x14:dxf>
              <fill>
                <patternFill>
                  <bgColor rgb="FF0070C0"/>
                </patternFill>
              </fill>
            </x14:dxf>
          </x14:cfRule>
          <xm:sqref>E14:E16</xm:sqref>
        </x14:conditionalFormatting>
        <x14:conditionalFormatting xmlns:xm="http://schemas.microsoft.com/office/excel/2006/main">
          <x14:cfRule type="cellIs" priority="27" operator="equal" id="{B5D3B8A8-340A-45A6-8AE3-56841107775E}">
            <xm:f>Critério!$B$14</xm:f>
            <x14:dxf>
              <fill>
                <patternFill>
                  <bgColor rgb="FFFFC000"/>
                </patternFill>
              </fill>
            </x14:dxf>
          </x14:cfRule>
          <x14:cfRule type="cellIs" priority="28" operator="equal" id="{9AAB5522-CCD1-456C-81CF-3792E9A81099}">
            <xm:f>Critério!$B$15</xm:f>
            <x14:dxf>
              <fill>
                <patternFill>
                  <bgColor rgb="FFC00000"/>
                </patternFill>
              </fill>
            </x14:dxf>
          </x14:cfRule>
          <x14:cfRule type="cellIs" priority="29" operator="equal" id="{8BE1CC1C-A087-4062-AD51-D9C0C04F2D5C}">
            <xm:f>Critério!$B$16</xm:f>
            <x14:dxf>
              <fill>
                <patternFill>
                  <bgColor rgb="FFFF0000"/>
                </patternFill>
              </fill>
            </x14:dxf>
          </x14:cfRule>
          <x14:cfRule type="cellIs" priority="30" operator="equal" id="{826CBD5B-D786-48C9-94DC-198281619B00}">
            <xm:f>Critério!$B$17</xm:f>
            <x14:dxf>
              <fill>
                <patternFill>
                  <bgColor theme="9" tint="-0.24994659260841701"/>
                </patternFill>
              </fill>
            </x14:dxf>
          </x14:cfRule>
          <x14:cfRule type="cellIs" priority="31" operator="equal" id="{F84651B1-C119-4016-B0EB-C8E38EE93D4F}">
            <xm:f>Critério!$B$18</xm:f>
            <x14:dxf>
              <fill>
                <patternFill>
                  <bgColor rgb="FFFFFF00"/>
                </patternFill>
              </fill>
            </x14:dxf>
          </x14:cfRule>
          <x14:cfRule type="cellIs" priority="32" operator="equal" id="{F93BE6C2-FE76-4628-930A-0178A14149F8}">
            <xm:f>Critério!$B$19</xm:f>
            <x14:dxf>
              <fill>
                <patternFill>
                  <bgColor rgb="FF00FF00"/>
                </patternFill>
              </fill>
            </x14:dxf>
          </x14:cfRule>
          <x14:cfRule type="cellIs" priority="33" operator="equal" id="{63F8DCBC-52EB-4292-B12A-ED4EB36ED38B}">
            <xm:f>Critério!$B$20</xm:f>
            <x14:dxf>
              <fill>
                <patternFill>
                  <bgColor rgb="FF0070C0"/>
                </patternFill>
              </fill>
            </x14:dxf>
          </x14:cfRule>
          <xm:sqref>E18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6B60398B-A7FA-4A71-9BD6-98F3D4719838}">
          <x14:formula1>
            <xm:f>Critério!$B$5:$B$10</xm:f>
          </x14:formula1>
          <xm:sqref>D14:D16 D18 D5:D12</xm:sqref>
        </x14:dataValidation>
        <x14:dataValidation type="list" allowBlank="1" showInputMessage="1" showErrorMessage="1" xr:uid="{71570C31-89D7-41EF-AEEC-D206047D51BD}">
          <x14:formula1>
            <xm:f>Critério!$B$14:$B$20</xm:f>
          </x14:formula1>
          <xm:sqref>E14:E16 E18 E5:E12</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18"/>
  <sheetViews>
    <sheetView showGridLines="0" zoomScaleNormal="100" workbookViewId="0">
      <selection activeCell="H3" sqref="H1:J1048576"/>
    </sheetView>
  </sheetViews>
  <sheetFormatPr defaultColWidth="16.664062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718</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61" t="e">
        <f>IF(#REF!=Critério!$B$5,Critério!$B$5,SUM(IF(D4=Critério!$B$5,100%,D4)*SUM(#REF!),IF(D13=Critério!$B$5,100%,D13)*SUM(#REF!)))/#REF!</f>
        <v>#REF!</v>
      </c>
      <c r="E3" s="60" t="s">
        <v>52</v>
      </c>
      <c r="F3" s="62" t="s">
        <v>53</v>
      </c>
    </row>
    <row r="4" spans="1:6" x14ac:dyDescent="0.3">
      <c r="A4" s="63" t="s">
        <v>719</v>
      </c>
      <c r="B4" s="54"/>
      <c r="C4" s="54"/>
      <c r="D4" s="55" t="e">
        <f>IF(#REF!=COUNTA(A5:A12),Critério!$B$5,SUMPRODUCT(#REF!,#REF!)/SUM(#REF!))</f>
        <v>#REF!</v>
      </c>
      <c r="E4" s="54"/>
      <c r="F4" s="64"/>
    </row>
    <row r="5" spans="1:6" ht="187.5" customHeight="1" x14ac:dyDescent="0.3">
      <c r="A5" s="77" t="s">
        <v>720</v>
      </c>
      <c r="B5" s="56" t="s">
        <v>721</v>
      </c>
      <c r="C5" s="76" t="s">
        <v>722</v>
      </c>
      <c r="D5" s="57">
        <v>3</v>
      </c>
      <c r="E5" s="58" t="s">
        <v>31</v>
      </c>
      <c r="F5" s="78"/>
    </row>
    <row r="6" spans="1:6" ht="51" x14ac:dyDescent="0.3">
      <c r="A6" s="77" t="s">
        <v>723</v>
      </c>
      <c r="B6" s="56" t="s">
        <v>724</v>
      </c>
      <c r="C6" s="76" t="s">
        <v>725</v>
      </c>
      <c r="D6" s="57">
        <v>3</v>
      </c>
      <c r="E6" s="58" t="s">
        <v>31</v>
      </c>
      <c r="F6" s="78"/>
    </row>
    <row r="7" spans="1:6" ht="61.2" x14ac:dyDescent="0.3">
      <c r="A7" s="77" t="s">
        <v>726</v>
      </c>
      <c r="B7" s="56" t="s">
        <v>727</v>
      </c>
      <c r="C7" s="56" t="s">
        <v>728</v>
      </c>
      <c r="D7" s="57">
        <v>3</v>
      </c>
      <c r="E7" s="58" t="s">
        <v>31</v>
      </c>
      <c r="F7" s="66"/>
    </row>
    <row r="8" spans="1:6" ht="71.400000000000006" x14ac:dyDescent="0.3">
      <c r="A8" s="77" t="s">
        <v>729</v>
      </c>
      <c r="B8" s="56" t="s">
        <v>730</v>
      </c>
      <c r="C8" s="56" t="s">
        <v>731</v>
      </c>
      <c r="D8" s="57">
        <v>3</v>
      </c>
      <c r="E8" s="58" t="s">
        <v>31</v>
      </c>
      <c r="F8" s="66"/>
    </row>
    <row r="9" spans="1:6" ht="61.2" x14ac:dyDescent="0.3">
      <c r="A9" s="77" t="s">
        <v>732</v>
      </c>
      <c r="B9" s="56" t="s">
        <v>733</v>
      </c>
      <c r="C9" s="56" t="s">
        <v>734</v>
      </c>
      <c r="D9" s="57">
        <v>3</v>
      </c>
      <c r="E9" s="58" t="s">
        <v>31</v>
      </c>
      <c r="F9" s="66"/>
    </row>
    <row r="10" spans="1:6" ht="81.599999999999994" x14ac:dyDescent="0.3">
      <c r="A10" s="77" t="s">
        <v>735</v>
      </c>
      <c r="B10" s="56" t="s">
        <v>736</v>
      </c>
      <c r="C10" s="56" t="s">
        <v>737</v>
      </c>
      <c r="D10" s="57">
        <v>3</v>
      </c>
      <c r="E10" s="58" t="s">
        <v>31</v>
      </c>
      <c r="F10" s="67"/>
    </row>
    <row r="11" spans="1:6" ht="97.5" customHeight="1" x14ac:dyDescent="0.3">
      <c r="A11" s="77" t="s">
        <v>738</v>
      </c>
      <c r="B11" s="56" t="s">
        <v>739</v>
      </c>
      <c r="C11" s="56" t="s">
        <v>740</v>
      </c>
      <c r="D11" s="57">
        <v>3</v>
      </c>
      <c r="E11" s="58" t="s">
        <v>31</v>
      </c>
      <c r="F11" s="67"/>
    </row>
    <row r="12" spans="1:6" ht="57.75" customHeight="1" x14ac:dyDescent="0.3">
      <c r="A12" s="77" t="s">
        <v>741</v>
      </c>
      <c r="B12" s="56" t="s">
        <v>742</v>
      </c>
      <c r="C12" s="56" t="s">
        <v>743</v>
      </c>
      <c r="D12" s="57">
        <v>3</v>
      </c>
      <c r="E12" s="58" t="s">
        <v>31</v>
      </c>
      <c r="F12" s="67"/>
    </row>
    <row r="13" spans="1:6" x14ac:dyDescent="0.3">
      <c r="A13" s="63" t="s">
        <v>744</v>
      </c>
      <c r="B13" s="54"/>
      <c r="C13" s="54"/>
      <c r="D13" s="55" t="e">
        <f>IF(#REF!=COUNTA(A14:A18),Critério!$B$5,SUMPRODUCT(#REF!,#REF!)/SUM(#REF!))</f>
        <v>#REF!</v>
      </c>
      <c r="E13" s="54"/>
      <c r="F13" s="64"/>
    </row>
    <row r="14" spans="1:6" ht="40.799999999999997" x14ac:dyDescent="0.3">
      <c r="A14" s="79" t="s">
        <v>745</v>
      </c>
      <c r="B14" s="76" t="s">
        <v>746</v>
      </c>
      <c r="C14" s="76" t="s">
        <v>747</v>
      </c>
      <c r="D14" s="57">
        <v>3</v>
      </c>
      <c r="E14" s="58" t="s">
        <v>31</v>
      </c>
      <c r="F14" s="78"/>
    </row>
    <row r="15" spans="1:6" ht="45.6" customHeight="1" x14ac:dyDescent="0.3">
      <c r="A15" s="79" t="s">
        <v>748</v>
      </c>
      <c r="B15" s="76" t="s">
        <v>749</v>
      </c>
      <c r="C15" s="76" t="s">
        <v>750</v>
      </c>
      <c r="D15" s="57">
        <v>3</v>
      </c>
      <c r="E15" s="58" t="s">
        <v>31</v>
      </c>
      <c r="F15" s="66"/>
    </row>
    <row r="16" spans="1:6" ht="40.799999999999997" x14ac:dyDescent="0.3">
      <c r="A16" s="79" t="s">
        <v>751</v>
      </c>
      <c r="B16" s="56" t="s">
        <v>752</v>
      </c>
      <c r="C16" s="56" t="s">
        <v>753</v>
      </c>
      <c r="D16" s="57">
        <v>3</v>
      </c>
      <c r="E16" s="58" t="s">
        <v>31</v>
      </c>
      <c r="F16" s="66"/>
    </row>
    <row r="17" spans="1:6" ht="35.1" customHeight="1" x14ac:dyDescent="0.3">
      <c r="A17" s="79" t="s">
        <v>754</v>
      </c>
      <c r="B17" s="76" t="s">
        <v>755</v>
      </c>
      <c r="C17" s="76" t="s">
        <v>756</v>
      </c>
      <c r="D17" s="57">
        <v>3</v>
      </c>
      <c r="E17" s="58" t="s">
        <v>31</v>
      </c>
      <c r="F17" s="66"/>
    </row>
    <row r="18" spans="1:6" ht="76.5" customHeight="1" thickBot="1" x14ac:dyDescent="0.35">
      <c r="A18" s="80" t="s">
        <v>757</v>
      </c>
      <c r="B18" s="72" t="s">
        <v>758</v>
      </c>
      <c r="C18" s="81" t="s">
        <v>759</v>
      </c>
      <c r="D18" s="73">
        <v>3</v>
      </c>
      <c r="E18" s="74" t="s">
        <v>31</v>
      </c>
      <c r="F18" s="82"/>
    </row>
  </sheetData>
  <autoFilter ref="A3:F3" xr:uid="{00000000-0001-0000-0E00-000000000000}"/>
  <mergeCells count="1">
    <mergeCell ref="A1:F2"/>
  </mergeCells>
  <phoneticPr fontId="12" type="noConversion"/>
  <conditionalFormatting sqref="A3">
    <cfRule type="duplicateValues" dxfId="97" priority="58"/>
  </conditionalFormatting>
  <conditionalFormatting sqref="A5:A12 A14:A18">
    <cfRule type="expression" dxfId="96" priority="60" stopIfTrue="1">
      <formula>AND(COUNTIF($A$5:$A$12, A5)+COUNTIF($A$14:$A$18, A5)&gt;1,NOT(ISBLANK(A5)))</formula>
    </cfRule>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13314"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13314"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8" stopIfTrue="1" operator="equal" id="{23A7A8EA-DB37-4891-9327-790B266CB2D2}">
            <xm:f>Critério!$B$10</xm:f>
            <x14:dxf>
              <fill>
                <patternFill>
                  <bgColor rgb="FF0070C0"/>
                </patternFill>
              </fill>
            </x14:dxf>
          </x14:cfRule>
          <x14:cfRule type="cellIs" priority="9" stopIfTrue="1" operator="equal" id="{65F7C0B2-A647-4149-902A-7345C0A028A3}">
            <xm:f>Critério!$B$9</xm:f>
            <x14:dxf>
              <fill>
                <patternFill>
                  <bgColor rgb="FF00FF00"/>
                </patternFill>
              </fill>
            </x14:dxf>
          </x14:cfRule>
          <x14:cfRule type="cellIs" priority="10" stopIfTrue="1" operator="equal" id="{1D7E0EF4-F751-4B45-9AD8-A9E4B1824A08}">
            <xm:f>Critério!$B$8</xm:f>
            <x14:dxf>
              <fill>
                <patternFill>
                  <bgColor rgb="FFFFFF00"/>
                </patternFill>
              </fill>
            </x14:dxf>
          </x14:cfRule>
          <x14:cfRule type="cellIs" priority="11" stopIfTrue="1" operator="equal" id="{EE9F415E-02CF-4D5E-AAC5-A0128F5FBB7C}">
            <xm:f>Critério!$B$7</xm:f>
            <x14:dxf>
              <fill>
                <patternFill>
                  <bgColor rgb="FFFF0000"/>
                </patternFill>
              </fill>
            </x14:dxf>
          </x14:cfRule>
          <x14:cfRule type="cellIs" priority="12" stopIfTrue="1" operator="equal" id="{35429853-02E9-4868-9930-8E26D1CD3907}">
            <xm:f>Critério!$B$6</xm:f>
            <x14:dxf>
              <fill>
                <patternFill>
                  <bgColor rgb="FFC00000"/>
                </patternFill>
              </fill>
            </x14:dxf>
          </x14:cfRule>
          <x14:cfRule type="cellIs" priority="13" stopIfTrue="1" operator="equal" id="{3945695D-31EF-419E-A27D-135B22171448}">
            <xm:f>Critério!$B$5</xm:f>
            <x14:dxf>
              <fill>
                <patternFill>
                  <bgColor rgb="FFFFC000"/>
                </patternFill>
              </fill>
            </x14:dxf>
          </x14:cfRule>
          <xm:sqref>D5:D12</xm:sqref>
        </x14:conditionalFormatting>
        <x14:conditionalFormatting xmlns:xm="http://schemas.microsoft.com/office/excel/2006/main">
          <x14:cfRule type="cellIs" priority="21" stopIfTrue="1" operator="equal" id="{66DC0C6F-62F5-4AD2-AA4C-B03E03D06207}">
            <xm:f>Critério!$B$10</xm:f>
            <x14:dxf>
              <fill>
                <patternFill>
                  <bgColor rgb="FF0070C0"/>
                </patternFill>
              </fill>
            </x14:dxf>
          </x14:cfRule>
          <x14:cfRule type="cellIs" priority="22" stopIfTrue="1" operator="equal" id="{651C7BA4-93FC-4BFE-A48B-B97F7CB9529A}">
            <xm:f>Critério!$B$9</xm:f>
            <x14:dxf>
              <fill>
                <patternFill>
                  <bgColor rgb="FF00FF00"/>
                </patternFill>
              </fill>
            </x14:dxf>
          </x14:cfRule>
          <x14:cfRule type="cellIs" priority="23" stopIfTrue="1" operator="equal" id="{B4121545-133B-46CB-98CA-D558820CDAB2}">
            <xm:f>Critério!$B$8</xm:f>
            <x14:dxf>
              <fill>
                <patternFill>
                  <bgColor rgb="FFFFFF00"/>
                </patternFill>
              </fill>
            </x14:dxf>
          </x14:cfRule>
          <x14:cfRule type="cellIs" priority="24" stopIfTrue="1" operator="equal" id="{522B4D36-9A72-4869-AB73-6F010861A162}">
            <xm:f>Critério!$B$7</xm:f>
            <x14:dxf>
              <fill>
                <patternFill>
                  <bgColor rgb="FFFF0000"/>
                </patternFill>
              </fill>
            </x14:dxf>
          </x14:cfRule>
          <x14:cfRule type="cellIs" priority="25" stopIfTrue="1" operator="equal" id="{848C4E96-1C23-4029-AD41-C58C8B52D82E}">
            <xm:f>Critério!$B$6</xm:f>
            <x14:dxf>
              <fill>
                <patternFill>
                  <bgColor rgb="FFC00000"/>
                </patternFill>
              </fill>
            </x14:dxf>
          </x14:cfRule>
          <x14:cfRule type="cellIs" priority="26" stopIfTrue="1" operator="equal" id="{C502EA3C-4E2A-4355-A3D7-D8B56E6D06A5}">
            <xm:f>Critério!$B$5</xm:f>
            <x14:dxf>
              <fill>
                <patternFill>
                  <bgColor rgb="FFFFC000"/>
                </patternFill>
              </fill>
            </x14:dxf>
          </x14:cfRule>
          <xm:sqref>D14:D18</xm:sqref>
        </x14:conditionalFormatting>
        <x14:conditionalFormatting xmlns:xm="http://schemas.microsoft.com/office/excel/2006/main">
          <x14:cfRule type="cellIs" priority="1" operator="equal" id="{281C023F-F309-4D8D-B62C-8FC0386E9C50}">
            <xm:f>Critério!$B$14</xm:f>
            <x14:dxf>
              <fill>
                <patternFill>
                  <bgColor rgb="FFFFC000"/>
                </patternFill>
              </fill>
            </x14:dxf>
          </x14:cfRule>
          <x14:cfRule type="cellIs" priority="2" operator="equal" id="{950D3B13-AFAE-482B-AB3A-E9A4D3BD5B1C}">
            <xm:f>Critério!$B$15</xm:f>
            <x14:dxf>
              <fill>
                <patternFill>
                  <bgColor rgb="FFC00000"/>
                </patternFill>
              </fill>
            </x14:dxf>
          </x14:cfRule>
          <x14:cfRule type="cellIs" priority="3" operator="equal" id="{D4AD42EE-410C-493C-A941-BB217E405771}">
            <xm:f>Critério!$B$16</xm:f>
            <x14:dxf>
              <fill>
                <patternFill>
                  <bgColor rgb="FFFF0000"/>
                </patternFill>
              </fill>
            </x14:dxf>
          </x14:cfRule>
          <x14:cfRule type="cellIs" priority="4" operator="equal" id="{1F8330BB-1870-4E25-9F5B-08311F2153F5}">
            <xm:f>Critério!$B$17</xm:f>
            <x14:dxf>
              <fill>
                <patternFill>
                  <bgColor theme="9" tint="-0.24994659260841701"/>
                </patternFill>
              </fill>
            </x14:dxf>
          </x14:cfRule>
          <x14:cfRule type="cellIs" priority="5" operator="equal" id="{D9E1EC42-D892-446D-8CCD-E978A6AD9AA2}">
            <xm:f>Critério!$B$18</xm:f>
            <x14:dxf>
              <fill>
                <patternFill>
                  <bgColor rgb="FFFFFF00"/>
                </patternFill>
              </fill>
            </x14:dxf>
          </x14:cfRule>
          <x14:cfRule type="cellIs" priority="6" operator="equal" id="{A158D70B-A6D2-49FA-9EFE-C599252AA51F}">
            <xm:f>Critério!$B$19</xm:f>
            <x14:dxf>
              <fill>
                <patternFill>
                  <bgColor rgb="FF00FF00"/>
                </patternFill>
              </fill>
            </x14:dxf>
          </x14:cfRule>
          <x14:cfRule type="cellIs" priority="7" operator="equal" id="{A033F539-2519-4D31-A726-1847433DC7CD}">
            <xm:f>Critério!$B$20</xm:f>
            <x14:dxf>
              <fill>
                <patternFill>
                  <bgColor rgb="FF0070C0"/>
                </patternFill>
              </fill>
            </x14:dxf>
          </x14:cfRule>
          <xm:sqref>E5:E12</xm:sqref>
        </x14:conditionalFormatting>
        <x14:conditionalFormatting xmlns:xm="http://schemas.microsoft.com/office/excel/2006/main">
          <x14:cfRule type="cellIs" priority="14" operator="equal" id="{C9D902D5-FBAA-4AFA-8217-A03604A7BA91}">
            <xm:f>Critério!$B$14</xm:f>
            <x14:dxf>
              <fill>
                <patternFill>
                  <bgColor rgb="FFFFC000"/>
                </patternFill>
              </fill>
            </x14:dxf>
          </x14:cfRule>
          <x14:cfRule type="cellIs" priority="15" operator="equal" id="{0FF0A178-1C15-4E07-AF23-E58022632871}">
            <xm:f>Critério!$B$15</xm:f>
            <x14:dxf>
              <fill>
                <patternFill>
                  <bgColor rgb="FFC00000"/>
                </patternFill>
              </fill>
            </x14:dxf>
          </x14:cfRule>
          <x14:cfRule type="cellIs" priority="16" operator="equal" id="{A7DC6D2B-30E2-444C-B2ED-3B72A18BEA58}">
            <xm:f>Critério!$B$16</xm:f>
            <x14:dxf>
              <fill>
                <patternFill>
                  <bgColor rgb="FFFF0000"/>
                </patternFill>
              </fill>
            </x14:dxf>
          </x14:cfRule>
          <x14:cfRule type="cellIs" priority="17" operator="equal" id="{7F270B4A-8D4D-463F-A09F-2F3B3A8294D6}">
            <xm:f>Critério!$B$17</xm:f>
            <x14:dxf>
              <fill>
                <patternFill>
                  <bgColor theme="9" tint="-0.24994659260841701"/>
                </patternFill>
              </fill>
            </x14:dxf>
          </x14:cfRule>
          <x14:cfRule type="cellIs" priority="18" operator="equal" id="{8E12D954-A40E-4901-831B-94786C233066}">
            <xm:f>Critério!$B$18</xm:f>
            <x14:dxf>
              <fill>
                <patternFill>
                  <bgColor rgb="FFFFFF00"/>
                </patternFill>
              </fill>
            </x14:dxf>
          </x14:cfRule>
          <x14:cfRule type="cellIs" priority="19" operator="equal" id="{593C3A88-342B-4672-9298-2B5BB41BA818}">
            <xm:f>Critério!$B$19</xm:f>
            <x14:dxf>
              <fill>
                <patternFill>
                  <bgColor rgb="FF00FF00"/>
                </patternFill>
              </fill>
            </x14:dxf>
          </x14:cfRule>
          <x14:cfRule type="cellIs" priority="20" operator="equal" id="{968AD96C-FC3F-40F2-9976-DB296715754D}">
            <xm:f>Critério!$B$20</xm:f>
            <x14:dxf>
              <fill>
                <patternFill>
                  <bgColor rgb="FF0070C0"/>
                </patternFill>
              </fill>
            </x14:dxf>
          </x14:cfRule>
          <xm:sqref>E14:E18</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2BCF891-841E-42A8-8D77-D120E403220C}">
          <x14:formula1>
            <xm:f>Critério!$B$14:$B$20</xm:f>
          </x14:formula1>
          <xm:sqref>E14:E18 E5:E12</xm:sqref>
        </x14:dataValidation>
        <x14:dataValidation type="list" allowBlank="1" showInputMessage="1" showErrorMessage="1" xr:uid="{1B772C08-83A4-43EE-B630-A8C264999522}">
          <x14:formula1>
            <xm:f>Critério!$B$5:$B$10</xm:f>
          </x14:formula1>
          <xm:sqref>D14:D18 D5:D12</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F19"/>
  <sheetViews>
    <sheetView showGridLines="0" zoomScaleNormal="100" workbookViewId="0">
      <selection activeCell="I9" sqref="I9"/>
    </sheetView>
  </sheetViews>
  <sheetFormatPr defaultColWidth="16.6640625" defaultRowHeight="14.4" x14ac:dyDescent="0.3"/>
  <cols>
    <col min="1" max="1" width="15.6640625" customWidth="1"/>
    <col min="2" max="2" width="30.6640625" customWidth="1"/>
    <col min="3" max="3" width="45.6640625" customWidth="1"/>
    <col min="4" max="5" width="12.6640625" customWidth="1"/>
    <col min="6" max="6" width="45.6640625" customWidth="1"/>
    <col min="7" max="7" width="1.6640625" customWidth="1"/>
  </cols>
  <sheetData>
    <row r="1" spans="1:6" x14ac:dyDescent="0.3">
      <c r="A1" s="246" t="s">
        <v>760</v>
      </c>
      <c r="B1" s="246"/>
      <c r="C1" s="246"/>
      <c r="D1" s="246"/>
      <c r="E1" s="246"/>
      <c r="F1" s="246"/>
    </row>
    <row r="2" spans="1:6" ht="15" thickBot="1" x14ac:dyDescent="0.35">
      <c r="A2" s="246"/>
      <c r="B2" s="246"/>
      <c r="C2" s="246"/>
      <c r="D2" s="246"/>
      <c r="E2" s="246"/>
      <c r="F2" s="246"/>
    </row>
    <row r="3" spans="1:6" ht="50.1" customHeight="1" x14ac:dyDescent="0.3">
      <c r="A3" s="59" t="s">
        <v>49</v>
      </c>
      <c r="B3" s="60" t="s">
        <v>50</v>
      </c>
      <c r="C3" s="60" t="s">
        <v>51</v>
      </c>
      <c r="D3" s="61" t="e">
        <f>IF(#REF!=Critério!$B$5,Critério!$B$5,SUM(IF(D4=Critério!$B$5,100%,D4)*SUM(#REF!),IF(D9=Critério!$B$5,100%,D9)*SUM(#REF!),IF(D13=Critério!$B$5,100%,D13)*SUM(#REF!),IF(D16=Critério!$B$5,100%,D16)*SUM(#REF!),IF(D18=Critério!$B$5,100%,D18)*SUM(#REF!)))/#REF!</f>
        <v>#REF!</v>
      </c>
      <c r="E3" s="60" t="s">
        <v>52</v>
      </c>
      <c r="F3" s="62" t="s">
        <v>53</v>
      </c>
    </row>
    <row r="4" spans="1:6" x14ac:dyDescent="0.3">
      <c r="A4" s="63" t="s">
        <v>761</v>
      </c>
      <c r="B4" s="54"/>
      <c r="C4" s="54"/>
      <c r="D4" s="55" t="e">
        <f>IF(#REF!=COUNTA(A5:A8),Critério!$B$5,SUMPRODUCT(#REF!,#REF!)/SUM(#REF!))</f>
        <v>#REF!</v>
      </c>
      <c r="E4" s="54"/>
      <c r="F4" s="64"/>
    </row>
    <row r="5" spans="1:6" ht="108" customHeight="1" x14ac:dyDescent="0.3">
      <c r="A5" s="65" t="s">
        <v>762</v>
      </c>
      <c r="B5" s="56" t="s">
        <v>763</v>
      </c>
      <c r="C5" s="56" t="s">
        <v>764</v>
      </c>
      <c r="D5" s="57">
        <v>3</v>
      </c>
      <c r="E5" s="58" t="s">
        <v>31</v>
      </c>
      <c r="F5" s="66"/>
    </row>
    <row r="6" spans="1:6" ht="70.5" customHeight="1" x14ac:dyDescent="0.3">
      <c r="A6" s="65" t="s">
        <v>765</v>
      </c>
      <c r="B6" s="56" t="s">
        <v>766</v>
      </c>
      <c r="C6" s="56" t="s">
        <v>767</v>
      </c>
      <c r="D6" s="57">
        <v>3</v>
      </c>
      <c r="E6" s="58" t="s">
        <v>31</v>
      </c>
      <c r="F6" s="67"/>
    </row>
    <row r="7" spans="1:6" ht="40.799999999999997" x14ac:dyDescent="0.3">
      <c r="A7" s="65" t="s">
        <v>768</v>
      </c>
      <c r="B7" s="56" t="s">
        <v>769</v>
      </c>
      <c r="C7" s="56" t="s">
        <v>770</v>
      </c>
      <c r="D7" s="57">
        <v>3</v>
      </c>
      <c r="E7" s="58" t="s">
        <v>31</v>
      </c>
      <c r="F7" s="67"/>
    </row>
    <row r="8" spans="1:6" ht="51" x14ac:dyDescent="0.3">
      <c r="A8" s="65" t="s">
        <v>771</v>
      </c>
      <c r="B8" s="56" t="s">
        <v>772</v>
      </c>
      <c r="C8" s="56" t="s">
        <v>770</v>
      </c>
      <c r="D8" s="57">
        <v>3</v>
      </c>
      <c r="E8" s="58" t="s">
        <v>31</v>
      </c>
      <c r="F8" s="67"/>
    </row>
    <row r="9" spans="1:6" x14ac:dyDescent="0.3">
      <c r="A9" s="63" t="s">
        <v>773</v>
      </c>
      <c r="B9" s="54"/>
      <c r="C9" s="54"/>
      <c r="D9" s="55" t="e">
        <f>IF(#REF!=COUNTA(A10:A12),Critério!$B$5,SUMPRODUCT(#REF!,#REF!)/SUM(#REF!))</f>
        <v>#REF!</v>
      </c>
      <c r="E9" s="54"/>
      <c r="F9" s="64"/>
    </row>
    <row r="10" spans="1:6" ht="81.75" customHeight="1" x14ac:dyDescent="0.3">
      <c r="A10" s="68" t="s">
        <v>774</v>
      </c>
      <c r="B10" s="56" t="s">
        <v>775</v>
      </c>
      <c r="C10" s="56" t="s">
        <v>776</v>
      </c>
      <c r="D10" s="57">
        <v>3</v>
      </c>
      <c r="E10" s="58" t="s">
        <v>31</v>
      </c>
      <c r="F10" s="67"/>
    </row>
    <row r="11" spans="1:6" ht="41.25" customHeight="1" x14ac:dyDescent="0.3">
      <c r="A11" s="68" t="s">
        <v>777</v>
      </c>
      <c r="B11" s="56" t="s">
        <v>778</v>
      </c>
      <c r="C11" s="56" t="s">
        <v>779</v>
      </c>
      <c r="D11" s="57">
        <v>3</v>
      </c>
      <c r="E11" s="58" t="s">
        <v>31</v>
      </c>
      <c r="F11" s="67"/>
    </row>
    <row r="12" spans="1:6" ht="92.4" customHeight="1" x14ac:dyDescent="0.3">
      <c r="A12" s="68" t="s">
        <v>780</v>
      </c>
      <c r="B12" s="56" t="s">
        <v>781</v>
      </c>
      <c r="C12" s="56" t="s">
        <v>782</v>
      </c>
      <c r="D12" s="57">
        <v>3</v>
      </c>
      <c r="E12" s="58" t="s">
        <v>31</v>
      </c>
      <c r="F12" s="67"/>
    </row>
    <row r="13" spans="1:6" x14ac:dyDescent="0.3">
      <c r="A13" s="63" t="s">
        <v>783</v>
      </c>
      <c r="B13" s="54"/>
      <c r="C13" s="54"/>
      <c r="D13" s="55" t="e">
        <f>IF(#REF!=COUNTA(A14:A15),Critério!$B$5,SUMPRODUCT(#REF!,#REF!)/SUM(#REF!))</f>
        <v>#REF!</v>
      </c>
      <c r="E13" s="54"/>
      <c r="F13" s="64"/>
    </row>
    <row r="14" spans="1:6" ht="74.400000000000006" customHeight="1" x14ac:dyDescent="0.3">
      <c r="A14" s="65" t="s">
        <v>784</v>
      </c>
      <c r="B14" s="56" t="s">
        <v>785</v>
      </c>
      <c r="C14" s="56" t="s">
        <v>786</v>
      </c>
      <c r="D14" s="57">
        <v>3</v>
      </c>
      <c r="E14" s="58" t="s">
        <v>31</v>
      </c>
      <c r="F14" s="67"/>
    </row>
    <row r="15" spans="1:6" ht="59.1" customHeight="1" x14ac:dyDescent="0.3">
      <c r="A15" s="65" t="s">
        <v>787</v>
      </c>
      <c r="B15" s="56" t="s">
        <v>788</v>
      </c>
      <c r="C15" s="56" t="s">
        <v>789</v>
      </c>
      <c r="D15" s="57">
        <v>3</v>
      </c>
      <c r="E15" s="58" t="s">
        <v>31</v>
      </c>
      <c r="F15" s="69"/>
    </row>
    <row r="16" spans="1:6" s="2" customFormat="1" ht="13.8" x14ac:dyDescent="0.3">
      <c r="A16" s="63" t="s">
        <v>790</v>
      </c>
      <c r="B16" s="54"/>
      <c r="C16" s="54"/>
      <c r="D16" s="55" t="e">
        <f>IF(#REF!=COUNTA(A17),Critério!$B$5,SUMPRODUCT(#REF!,#REF!)/SUM(#REF!))</f>
        <v>#REF!</v>
      </c>
      <c r="E16" s="54"/>
      <c r="F16" s="70"/>
    </row>
    <row r="17" spans="1:6" ht="61.5" customHeight="1" x14ac:dyDescent="0.3">
      <c r="A17" s="68" t="s">
        <v>791</v>
      </c>
      <c r="B17" s="56" t="s">
        <v>792</v>
      </c>
      <c r="C17" s="56" t="s">
        <v>793</v>
      </c>
      <c r="D17" s="57">
        <v>3</v>
      </c>
      <c r="E17" s="58" t="s">
        <v>31</v>
      </c>
      <c r="F17" s="67"/>
    </row>
    <row r="18" spans="1:6" x14ac:dyDescent="0.3">
      <c r="A18" s="63" t="s">
        <v>643</v>
      </c>
      <c r="B18" s="54"/>
      <c r="C18" s="54"/>
      <c r="D18" s="55" t="e">
        <f>IF(#REF!=COUNTA(A19),Critério!$B$5,SUMPRODUCT(#REF!,#REF!)/SUM(#REF!))</f>
        <v>#REF!</v>
      </c>
      <c r="E18" s="54"/>
      <c r="F18" s="64"/>
    </row>
    <row r="19" spans="1:6" ht="154.5" customHeight="1" thickBot="1" x14ac:dyDescent="0.35">
      <c r="A19" s="71" t="s">
        <v>794</v>
      </c>
      <c r="B19" s="72" t="s">
        <v>795</v>
      </c>
      <c r="C19" s="72" t="s">
        <v>796</v>
      </c>
      <c r="D19" s="73">
        <v>3</v>
      </c>
      <c r="E19" s="74" t="s">
        <v>31</v>
      </c>
      <c r="F19" s="75"/>
    </row>
  </sheetData>
  <autoFilter ref="A3:F3" xr:uid="{00000000-0001-0000-0F00-000000000000}"/>
  <mergeCells count="1">
    <mergeCell ref="A1:F2"/>
  </mergeCells>
  <phoneticPr fontId="12" type="noConversion"/>
  <conditionalFormatting sqref="A3">
    <cfRule type="duplicateValues" dxfId="69" priority="125"/>
  </conditionalFormatting>
  <conditionalFormatting sqref="A5:A8 A10:A12 A14:A15 A17">
    <cfRule type="expression" dxfId="68" priority="127" stopIfTrue="1">
      <formula>AND(COUNTIF($A$5:$A$8, A5)+COUNTIF($A$10:$A$12, A5)+COUNTIF($A$14:$A$15, A5)+COUNTIF($A$17:$A$17, A5)&gt;1,NOT(ISBLANK(A5)))</formula>
    </cfRule>
  </conditionalFormatting>
  <conditionalFormatting sqref="A9">
    <cfRule type="duplicateValues" dxfId="67" priority="121"/>
  </conditionalFormatting>
  <conditionalFormatting sqref="A13">
    <cfRule type="duplicateValues" dxfId="66" priority="120"/>
  </conditionalFormatting>
  <conditionalFormatting sqref="A19">
    <cfRule type="duplicateValues" dxfId="65" priority="122"/>
  </conditionalFormatting>
  <pageMargins left="0.511811024" right="0.511811024" top="0.78740157499999996" bottom="0.78740157499999996" header="0.31496062000000002" footer="0.31496062000000002"/>
  <pageSetup paperSize="9" scale="36" fitToHeight="0" orientation="portrait" r:id="rId1"/>
  <headerFooter>
    <oddHeader>&amp;R&amp;"Calibri"&amp;7&amp;K000000 Security level: RINA/CL/SENSITIVE&amp;1#_x000D_</oddHeader>
    <oddFooter>&amp;L_x000D_&amp;1#&amp;"Trebuchet MS"&amp;9&amp;K737373 PÚBLICA</oddFooter>
  </headerFooter>
  <drawing r:id="rId2"/>
  <legacyDrawing r:id="rId3"/>
  <oleObjects>
    <mc:AlternateContent xmlns:mc="http://schemas.openxmlformats.org/markup-compatibility/2006">
      <mc:Choice Requires="x14">
        <oleObject progId="Word.Picture.8" shapeId="14338" r:id="rId4">
          <objectPr defaultSize="0" autoPict="0" r:id="rId5">
            <anchor moveWithCells="1" sizeWithCells="1">
              <from>
                <xdr:col>0</xdr:col>
                <xdr:colOff>121920</xdr:colOff>
                <xdr:row>0</xdr:row>
                <xdr:rowOff>76200</xdr:rowOff>
              </from>
              <to>
                <xdr:col>0</xdr:col>
                <xdr:colOff>922020</xdr:colOff>
                <xdr:row>1</xdr:row>
                <xdr:rowOff>121920</xdr:rowOff>
              </to>
            </anchor>
          </objectPr>
        </oleObject>
      </mc:Choice>
      <mc:Fallback>
        <oleObject progId="Word.Picture.8" shapeId="14338" r:id="rId4"/>
      </mc:Fallback>
    </mc:AlternateContent>
  </oleObjects>
  <extLst>
    <ext xmlns:x14="http://schemas.microsoft.com/office/spreadsheetml/2009/9/main" uri="{78C0D931-6437-407d-A8EE-F0AAD7539E65}">
      <x14:conditionalFormattings>
        <x14:conditionalFormatting xmlns:xm="http://schemas.microsoft.com/office/excel/2006/main">
          <x14:cfRule type="cellIs" priority="112" stopIfTrue="1" operator="equal" id="{04CCECDC-E449-4E9A-94BC-D73E341CBAC1}">
            <xm:f>Critério!$B$10</xm:f>
            <x14:dxf>
              <fill>
                <patternFill>
                  <bgColor rgb="FF0070C0"/>
                </patternFill>
              </fill>
            </x14:dxf>
          </x14:cfRule>
          <x14:cfRule type="cellIs" priority="113" stopIfTrue="1" operator="equal" id="{C90B6142-67F9-4A87-B0F6-D240140A7C30}">
            <xm:f>Critério!$B$9</xm:f>
            <x14:dxf>
              <fill>
                <patternFill>
                  <bgColor rgb="FF00FF00"/>
                </patternFill>
              </fill>
            </x14:dxf>
          </x14:cfRule>
          <x14:cfRule type="cellIs" priority="114" stopIfTrue="1" operator="equal" id="{F46047CB-F2C5-4429-A105-75DFADBCB079}">
            <xm:f>Critério!$B$8</xm:f>
            <x14:dxf>
              <fill>
                <patternFill>
                  <bgColor rgb="FFFFFF00"/>
                </patternFill>
              </fill>
            </x14:dxf>
          </x14:cfRule>
          <x14:cfRule type="cellIs" priority="115" stopIfTrue="1" operator="equal" id="{A5A48DC1-BE08-4A06-ABB6-D209DF26EC28}">
            <xm:f>Critério!$B$7</xm:f>
            <x14:dxf>
              <fill>
                <patternFill>
                  <bgColor rgb="FFFF0000"/>
                </patternFill>
              </fill>
            </x14:dxf>
          </x14:cfRule>
          <x14:cfRule type="cellIs" priority="116" stopIfTrue="1" operator="equal" id="{0E93B7FA-A77F-4F57-8387-9C33B979B861}">
            <xm:f>Critério!$B$6</xm:f>
            <x14:dxf>
              <fill>
                <patternFill>
                  <bgColor rgb="FFC00000"/>
                </patternFill>
              </fill>
            </x14:dxf>
          </x14:cfRule>
          <x14:cfRule type="cellIs" priority="117" stopIfTrue="1" operator="equal" id="{E0D030C1-B1C0-4228-B9A6-A913A5DB4F67}">
            <xm:f>Critério!$B$5</xm:f>
            <x14:dxf>
              <fill>
                <patternFill>
                  <bgColor rgb="FFFFC000"/>
                </patternFill>
              </fill>
            </x14:dxf>
          </x14:cfRule>
          <xm:sqref>D5:D8</xm:sqref>
        </x14:conditionalFormatting>
        <x14:conditionalFormatting xmlns:xm="http://schemas.microsoft.com/office/excel/2006/main">
          <x14:cfRule type="cellIs" priority="47" stopIfTrue="1" operator="equal" id="{BD9C20C4-6496-4668-BBF3-7E73F0864E31}">
            <xm:f>Critério!$B$10</xm:f>
            <x14:dxf>
              <fill>
                <patternFill>
                  <bgColor rgb="FF0070C0"/>
                </patternFill>
              </fill>
            </x14:dxf>
          </x14:cfRule>
          <x14:cfRule type="cellIs" priority="48" stopIfTrue="1" operator="equal" id="{6F4AB68D-A4B9-49A5-B358-01F3F5933F1F}">
            <xm:f>Critério!$B$9</xm:f>
            <x14:dxf>
              <fill>
                <patternFill>
                  <bgColor rgb="FF00FF00"/>
                </patternFill>
              </fill>
            </x14:dxf>
          </x14:cfRule>
          <x14:cfRule type="cellIs" priority="49" stopIfTrue="1" operator="equal" id="{FF5CEFE3-CB83-49D9-8086-D3C057DBCAD1}">
            <xm:f>Critério!$B$8</xm:f>
            <x14:dxf>
              <fill>
                <patternFill>
                  <bgColor rgb="FFFFFF00"/>
                </patternFill>
              </fill>
            </x14:dxf>
          </x14:cfRule>
          <x14:cfRule type="cellIs" priority="50" stopIfTrue="1" operator="equal" id="{F5B40DFD-4FEE-42F3-A6C9-7E19A8504A26}">
            <xm:f>Critério!$B$7</xm:f>
            <x14:dxf>
              <fill>
                <patternFill>
                  <bgColor rgb="FFFF0000"/>
                </patternFill>
              </fill>
            </x14:dxf>
          </x14:cfRule>
          <x14:cfRule type="cellIs" priority="51" stopIfTrue="1" operator="equal" id="{1860AA9C-E246-4206-B619-DBDD82467820}">
            <xm:f>Critério!$B$6</xm:f>
            <x14:dxf>
              <fill>
                <patternFill>
                  <bgColor rgb="FFC00000"/>
                </patternFill>
              </fill>
            </x14:dxf>
          </x14:cfRule>
          <x14:cfRule type="cellIs" priority="52" stopIfTrue="1" operator="equal" id="{A2AB3E90-4665-44A9-AE4B-F33ADAD54631}">
            <xm:f>Critério!$B$5</xm:f>
            <x14:dxf>
              <fill>
                <patternFill>
                  <bgColor rgb="FFFFC000"/>
                </patternFill>
              </fill>
            </x14:dxf>
          </x14:cfRule>
          <xm:sqref>D10:D12</xm:sqref>
        </x14:conditionalFormatting>
        <x14:conditionalFormatting xmlns:xm="http://schemas.microsoft.com/office/excel/2006/main">
          <x14:cfRule type="cellIs" priority="34" stopIfTrue="1" operator="equal" id="{14F0741F-2C9F-4A74-B686-A0F292E02BD1}">
            <xm:f>Critério!$B$10</xm:f>
            <x14:dxf>
              <fill>
                <patternFill>
                  <bgColor rgb="FF0070C0"/>
                </patternFill>
              </fill>
            </x14:dxf>
          </x14:cfRule>
          <x14:cfRule type="cellIs" priority="35" stopIfTrue="1" operator="equal" id="{D8826857-A841-43A8-A62C-A7AEC11E4615}">
            <xm:f>Critério!$B$9</xm:f>
            <x14:dxf>
              <fill>
                <patternFill>
                  <bgColor rgb="FF00FF00"/>
                </patternFill>
              </fill>
            </x14:dxf>
          </x14:cfRule>
          <x14:cfRule type="cellIs" priority="36" stopIfTrue="1" operator="equal" id="{49541792-7D26-40FC-B3CB-C2657E3B88E1}">
            <xm:f>Critério!$B$8</xm:f>
            <x14:dxf>
              <fill>
                <patternFill>
                  <bgColor rgb="FFFFFF00"/>
                </patternFill>
              </fill>
            </x14:dxf>
          </x14:cfRule>
          <x14:cfRule type="cellIs" priority="37" stopIfTrue="1" operator="equal" id="{23A46489-D05B-4176-8937-25C2DF328E68}">
            <xm:f>Critério!$B$7</xm:f>
            <x14:dxf>
              <fill>
                <patternFill>
                  <bgColor rgb="FFFF0000"/>
                </patternFill>
              </fill>
            </x14:dxf>
          </x14:cfRule>
          <x14:cfRule type="cellIs" priority="38" stopIfTrue="1" operator="equal" id="{2438DF70-BF88-4DCB-AA27-254C2DC13374}">
            <xm:f>Critério!$B$6</xm:f>
            <x14:dxf>
              <fill>
                <patternFill>
                  <bgColor rgb="FFC00000"/>
                </patternFill>
              </fill>
            </x14:dxf>
          </x14:cfRule>
          <x14:cfRule type="cellIs" priority="39" stopIfTrue="1" operator="equal" id="{979C7A9C-4F95-4DA3-B45A-F70963936C6C}">
            <xm:f>Critério!$B$5</xm:f>
            <x14:dxf>
              <fill>
                <patternFill>
                  <bgColor rgb="FFFFC000"/>
                </patternFill>
              </fill>
            </x14:dxf>
          </x14:cfRule>
          <xm:sqref>D14:D15</xm:sqref>
        </x14:conditionalFormatting>
        <x14:conditionalFormatting xmlns:xm="http://schemas.microsoft.com/office/excel/2006/main">
          <x14:cfRule type="cellIs" priority="21" stopIfTrue="1" operator="equal" id="{A06F9CCC-1E73-4D19-8146-909AD6B0F009}">
            <xm:f>Critério!$B$10</xm:f>
            <x14:dxf>
              <fill>
                <patternFill>
                  <bgColor rgb="FF0070C0"/>
                </patternFill>
              </fill>
            </x14:dxf>
          </x14:cfRule>
          <x14:cfRule type="cellIs" priority="22" stopIfTrue="1" operator="equal" id="{4DFD49CE-592B-4D66-8F85-D9D8FF170AF5}">
            <xm:f>Critério!$B$9</xm:f>
            <x14:dxf>
              <fill>
                <patternFill>
                  <bgColor rgb="FF00FF00"/>
                </patternFill>
              </fill>
            </x14:dxf>
          </x14:cfRule>
          <x14:cfRule type="cellIs" priority="23" stopIfTrue="1" operator="equal" id="{E3E6ADA0-B611-4A27-B202-4DD8B88BAE33}">
            <xm:f>Critério!$B$8</xm:f>
            <x14:dxf>
              <fill>
                <patternFill>
                  <bgColor rgb="FFFFFF00"/>
                </patternFill>
              </fill>
            </x14:dxf>
          </x14:cfRule>
          <x14:cfRule type="cellIs" priority="24" stopIfTrue="1" operator="equal" id="{1DAD4916-326D-4E88-9E8C-223E66C09572}">
            <xm:f>Critério!$B$7</xm:f>
            <x14:dxf>
              <fill>
                <patternFill>
                  <bgColor rgb="FFFF0000"/>
                </patternFill>
              </fill>
            </x14:dxf>
          </x14:cfRule>
          <x14:cfRule type="cellIs" priority="25" stopIfTrue="1" operator="equal" id="{1E23179D-A6B3-41D7-8849-C65100DEDD79}">
            <xm:f>Critério!$B$6</xm:f>
            <x14:dxf>
              <fill>
                <patternFill>
                  <bgColor rgb="FFC00000"/>
                </patternFill>
              </fill>
            </x14:dxf>
          </x14:cfRule>
          <x14:cfRule type="cellIs" priority="26" stopIfTrue="1" operator="equal" id="{F3325150-6B07-4D36-BE1E-48D6E2B71779}">
            <xm:f>Critério!$B$5</xm:f>
            <x14:dxf>
              <fill>
                <patternFill>
                  <bgColor rgb="FFFFC000"/>
                </patternFill>
              </fill>
            </x14:dxf>
          </x14:cfRule>
          <xm:sqref>D17</xm:sqref>
        </x14:conditionalFormatting>
        <x14:conditionalFormatting xmlns:xm="http://schemas.microsoft.com/office/excel/2006/main">
          <x14:cfRule type="cellIs" priority="8" stopIfTrue="1" operator="equal" id="{5E26F304-11EF-4E43-86E7-EF60C148BD36}">
            <xm:f>Critério!$B$10</xm:f>
            <x14:dxf>
              <fill>
                <patternFill>
                  <bgColor rgb="FF0070C0"/>
                </patternFill>
              </fill>
            </x14:dxf>
          </x14:cfRule>
          <x14:cfRule type="cellIs" priority="9" stopIfTrue="1" operator="equal" id="{ECE84588-9739-4CCF-BA6E-46A9B6807C26}">
            <xm:f>Critério!$B$9</xm:f>
            <x14:dxf>
              <fill>
                <patternFill>
                  <bgColor rgb="FF00FF00"/>
                </patternFill>
              </fill>
            </x14:dxf>
          </x14:cfRule>
          <x14:cfRule type="cellIs" priority="10" stopIfTrue="1" operator="equal" id="{3CD886DA-B0B4-42D7-A682-634AB5757EEE}">
            <xm:f>Critério!$B$8</xm:f>
            <x14:dxf>
              <fill>
                <patternFill>
                  <bgColor rgb="FFFFFF00"/>
                </patternFill>
              </fill>
            </x14:dxf>
          </x14:cfRule>
          <x14:cfRule type="cellIs" priority="11" stopIfTrue="1" operator="equal" id="{80D2D50D-A184-493B-B98E-E0F2A345A629}">
            <xm:f>Critério!$B$7</xm:f>
            <x14:dxf>
              <fill>
                <patternFill>
                  <bgColor rgb="FFFF0000"/>
                </patternFill>
              </fill>
            </x14:dxf>
          </x14:cfRule>
          <x14:cfRule type="cellIs" priority="12" stopIfTrue="1" operator="equal" id="{65E85FD9-E200-416C-B5E8-AA4894C276B5}">
            <xm:f>Critério!$B$6</xm:f>
            <x14:dxf>
              <fill>
                <patternFill>
                  <bgColor rgb="FFC00000"/>
                </patternFill>
              </fill>
            </x14:dxf>
          </x14:cfRule>
          <x14:cfRule type="cellIs" priority="13" stopIfTrue="1" operator="equal" id="{3088D040-60BC-438B-8724-5856AB2411FB}">
            <xm:f>Critério!$B$5</xm:f>
            <x14:dxf>
              <fill>
                <patternFill>
                  <bgColor rgb="FFFFC000"/>
                </patternFill>
              </fill>
            </x14:dxf>
          </x14:cfRule>
          <xm:sqref>D19</xm:sqref>
        </x14:conditionalFormatting>
        <x14:conditionalFormatting xmlns:xm="http://schemas.microsoft.com/office/excel/2006/main">
          <x14:cfRule type="cellIs" priority="105" operator="equal" id="{BD2D044F-BE97-48DB-B8F9-997CA362D412}">
            <xm:f>Critério!$B$14</xm:f>
            <x14:dxf>
              <fill>
                <patternFill>
                  <bgColor rgb="FFFFC000"/>
                </patternFill>
              </fill>
            </x14:dxf>
          </x14:cfRule>
          <x14:cfRule type="cellIs" priority="106" operator="equal" id="{393C4720-A632-4159-B898-9F0A4EBBE2AC}">
            <xm:f>Critério!$B$15</xm:f>
            <x14:dxf>
              <fill>
                <patternFill>
                  <bgColor rgb="FFC00000"/>
                </patternFill>
              </fill>
            </x14:dxf>
          </x14:cfRule>
          <x14:cfRule type="cellIs" priority="107" operator="equal" id="{20DB054E-65AF-4113-8EC7-E14748C2E53A}">
            <xm:f>Critério!$B$16</xm:f>
            <x14:dxf>
              <fill>
                <patternFill>
                  <bgColor rgb="FFFF0000"/>
                </patternFill>
              </fill>
            </x14:dxf>
          </x14:cfRule>
          <x14:cfRule type="cellIs" priority="108" operator="equal" id="{16A04A6A-024E-44C4-B820-3271F49900CE}">
            <xm:f>Critério!$B$17</xm:f>
            <x14:dxf>
              <fill>
                <patternFill>
                  <bgColor theme="9" tint="-0.24994659260841701"/>
                </patternFill>
              </fill>
            </x14:dxf>
          </x14:cfRule>
          <x14:cfRule type="cellIs" priority="109" operator="equal" id="{6533E845-E8A0-4A98-B768-CBA14C6237CF}">
            <xm:f>Critério!$B$18</xm:f>
            <x14:dxf>
              <fill>
                <patternFill>
                  <bgColor rgb="FFFFFF00"/>
                </patternFill>
              </fill>
            </x14:dxf>
          </x14:cfRule>
          <x14:cfRule type="cellIs" priority="110" operator="equal" id="{C2824A86-7026-4CFE-9215-B8D651CB9B54}">
            <xm:f>Critério!$B$19</xm:f>
            <x14:dxf>
              <fill>
                <patternFill>
                  <bgColor rgb="FF00FF00"/>
                </patternFill>
              </fill>
            </x14:dxf>
          </x14:cfRule>
          <x14:cfRule type="cellIs" priority="111" operator="equal" id="{7FCEEED8-4161-4345-BF48-B8FA17C999D1}">
            <xm:f>Critério!$B$20</xm:f>
            <x14:dxf>
              <fill>
                <patternFill>
                  <bgColor rgb="FF0070C0"/>
                </patternFill>
              </fill>
            </x14:dxf>
          </x14:cfRule>
          <xm:sqref>E5:E8</xm:sqref>
        </x14:conditionalFormatting>
        <x14:conditionalFormatting xmlns:xm="http://schemas.microsoft.com/office/excel/2006/main">
          <x14:cfRule type="cellIs" priority="40" operator="equal" id="{ABF72757-D9D1-4F3A-9FFE-1A63ED5E764A}">
            <xm:f>Critério!$B$14</xm:f>
            <x14:dxf>
              <fill>
                <patternFill>
                  <bgColor rgb="FFFFC000"/>
                </patternFill>
              </fill>
            </x14:dxf>
          </x14:cfRule>
          <x14:cfRule type="cellIs" priority="41" operator="equal" id="{8304029F-2141-4D7A-8999-AEE7F420E4A7}">
            <xm:f>Critério!$B$15</xm:f>
            <x14:dxf>
              <fill>
                <patternFill>
                  <bgColor rgb="FFC00000"/>
                </patternFill>
              </fill>
            </x14:dxf>
          </x14:cfRule>
          <x14:cfRule type="cellIs" priority="42" operator="equal" id="{03AF7700-2FC1-4374-84A9-7E0C4BD0ADB3}">
            <xm:f>Critério!$B$16</xm:f>
            <x14:dxf>
              <fill>
                <patternFill>
                  <bgColor rgb="FFFF0000"/>
                </patternFill>
              </fill>
            </x14:dxf>
          </x14:cfRule>
          <x14:cfRule type="cellIs" priority="43" operator="equal" id="{C29C79EA-3DD3-42C6-9D45-3215E98CC45D}">
            <xm:f>Critério!$B$17</xm:f>
            <x14:dxf>
              <fill>
                <patternFill>
                  <bgColor theme="9" tint="-0.24994659260841701"/>
                </patternFill>
              </fill>
            </x14:dxf>
          </x14:cfRule>
          <x14:cfRule type="cellIs" priority="44" operator="equal" id="{6D2BFDD8-C0CC-48DA-AAE4-92310BFF300D}">
            <xm:f>Critério!$B$18</xm:f>
            <x14:dxf>
              <fill>
                <patternFill>
                  <bgColor rgb="FFFFFF00"/>
                </patternFill>
              </fill>
            </x14:dxf>
          </x14:cfRule>
          <x14:cfRule type="cellIs" priority="45" operator="equal" id="{FA53F074-A338-4B69-98BB-57FB42511DF4}">
            <xm:f>Critério!$B$19</xm:f>
            <x14:dxf>
              <fill>
                <patternFill>
                  <bgColor rgb="FF00FF00"/>
                </patternFill>
              </fill>
            </x14:dxf>
          </x14:cfRule>
          <x14:cfRule type="cellIs" priority="46" operator="equal" id="{65788889-C82C-4DBA-B829-17FCF4EC2BEE}">
            <xm:f>Critério!$B$20</xm:f>
            <x14:dxf>
              <fill>
                <patternFill>
                  <bgColor rgb="FF0070C0"/>
                </patternFill>
              </fill>
            </x14:dxf>
          </x14:cfRule>
          <xm:sqref>E10:E12</xm:sqref>
        </x14:conditionalFormatting>
        <x14:conditionalFormatting xmlns:xm="http://schemas.microsoft.com/office/excel/2006/main">
          <x14:cfRule type="cellIs" priority="27" operator="equal" id="{D586741F-1684-4A2F-B691-A295009ED749}">
            <xm:f>Critério!$B$14</xm:f>
            <x14:dxf>
              <fill>
                <patternFill>
                  <bgColor rgb="FFFFC000"/>
                </patternFill>
              </fill>
            </x14:dxf>
          </x14:cfRule>
          <x14:cfRule type="cellIs" priority="28" operator="equal" id="{3FEE6925-BF5B-43BB-A447-5C068D39B106}">
            <xm:f>Critério!$B$15</xm:f>
            <x14:dxf>
              <fill>
                <patternFill>
                  <bgColor rgb="FFC00000"/>
                </patternFill>
              </fill>
            </x14:dxf>
          </x14:cfRule>
          <x14:cfRule type="cellIs" priority="29" operator="equal" id="{1FC76D1E-BD2B-45B9-912D-5B0BFEF1E7DB}">
            <xm:f>Critério!$B$16</xm:f>
            <x14:dxf>
              <fill>
                <patternFill>
                  <bgColor rgb="FFFF0000"/>
                </patternFill>
              </fill>
            </x14:dxf>
          </x14:cfRule>
          <x14:cfRule type="cellIs" priority="30" operator="equal" id="{DC02F4C8-0C09-402D-821A-391CA8916B23}">
            <xm:f>Critério!$B$17</xm:f>
            <x14:dxf>
              <fill>
                <patternFill>
                  <bgColor theme="9" tint="-0.24994659260841701"/>
                </patternFill>
              </fill>
            </x14:dxf>
          </x14:cfRule>
          <x14:cfRule type="cellIs" priority="31" operator="equal" id="{D9ACAC40-11ED-4778-A718-94CED0F998A0}">
            <xm:f>Critério!$B$18</xm:f>
            <x14:dxf>
              <fill>
                <patternFill>
                  <bgColor rgb="FFFFFF00"/>
                </patternFill>
              </fill>
            </x14:dxf>
          </x14:cfRule>
          <x14:cfRule type="cellIs" priority="32" operator="equal" id="{3599A612-CFEA-4526-8133-AE11EC057655}">
            <xm:f>Critério!$B$19</xm:f>
            <x14:dxf>
              <fill>
                <patternFill>
                  <bgColor rgb="FF00FF00"/>
                </patternFill>
              </fill>
            </x14:dxf>
          </x14:cfRule>
          <x14:cfRule type="cellIs" priority="33" operator="equal" id="{5724BAED-8269-4532-95B0-A54ECED79B0A}">
            <xm:f>Critério!$B$20</xm:f>
            <x14:dxf>
              <fill>
                <patternFill>
                  <bgColor rgb="FF0070C0"/>
                </patternFill>
              </fill>
            </x14:dxf>
          </x14:cfRule>
          <xm:sqref>E14:E15</xm:sqref>
        </x14:conditionalFormatting>
        <x14:conditionalFormatting xmlns:xm="http://schemas.microsoft.com/office/excel/2006/main">
          <x14:cfRule type="cellIs" priority="14" operator="equal" id="{08EA2818-A093-4182-9CF6-397340966287}">
            <xm:f>Critério!$B$14</xm:f>
            <x14:dxf>
              <fill>
                <patternFill>
                  <bgColor rgb="FFFFC000"/>
                </patternFill>
              </fill>
            </x14:dxf>
          </x14:cfRule>
          <x14:cfRule type="cellIs" priority="15" operator="equal" id="{D2DF17D9-BD9E-42B9-AC96-BD7837464E1C}">
            <xm:f>Critério!$B$15</xm:f>
            <x14:dxf>
              <fill>
                <patternFill>
                  <bgColor rgb="FFC00000"/>
                </patternFill>
              </fill>
            </x14:dxf>
          </x14:cfRule>
          <x14:cfRule type="cellIs" priority="16" operator="equal" id="{9397CC59-51E9-4B58-B7F6-187829EF0779}">
            <xm:f>Critério!$B$16</xm:f>
            <x14:dxf>
              <fill>
                <patternFill>
                  <bgColor rgb="FFFF0000"/>
                </patternFill>
              </fill>
            </x14:dxf>
          </x14:cfRule>
          <x14:cfRule type="cellIs" priority="17" operator="equal" id="{D272900A-E1D4-4C86-A5C3-99A9292668F7}">
            <xm:f>Critério!$B$17</xm:f>
            <x14:dxf>
              <fill>
                <patternFill>
                  <bgColor theme="9" tint="-0.24994659260841701"/>
                </patternFill>
              </fill>
            </x14:dxf>
          </x14:cfRule>
          <x14:cfRule type="cellIs" priority="18" operator="equal" id="{FEB737C3-CF2E-4C45-BB17-E461F9944636}">
            <xm:f>Critério!$B$18</xm:f>
            <x14:dxf>
              <fill>
                <patternFill>
                  <bgColor rgb="FFFFFF00"/>
                </patternFill>
              </fill>
            </x14:dxf>
          </x14:cfRule>
          <x14:cfRule type="cellIs" priority="19" operator="equal" id="{BF28B47A-CDE7-45D9-88AC-811096FA22E1}">
            <xm:f>Critério!$B$19</xm:f>
            <x14:dxf>
              <fill>
                <patternFill>
                  <bgColor rgb="FF00FF00"/>
                </patternFill>
              </fill>
            </x14:dxf>
          </x14:cfRule>
          <x14:cfRule type="cellIs" priority="20" operator="equal" id="{6A2D18DB-82EE-4B6C-84D2-29625EEF39E5}">
            <xm:f>Critério!$B$20</xm:f>
            <x14:dxf>
              <fill>
                <patternFill>
                  <bgColor rgb="FF0070C0"/>
                </patternFill>
              </fill>
            </x14:dxf>
          </x14:cfRule>
          <xm:sqref>E17</xm:sqref>
        </x14:conditionalFormatting>
        <x14:conditionalFormatting xmlns:xm="http://schemas.microsoft.com/office/excel/2006/main">
          <x14:cfRule type="cellIs" priority="1" operator="equal" id="{5D51DADB-8E34-4B12-898D-864725C1C312}">
            <xm:f>Critério!$B$14</xm:f>
            <x14:dxf>
              <fill>
                <patternFill>
                  <bgColor rgb="FFFFC000"/>
                </patternFill>
              </fill>
            </x14:dxf>
          </x14:cfRule>
          <x14:cfRule type="cellIs" priority="2" operator="equal" id="{F7EE1637-9877-42ED-8F71-4F5E77E897D6}">
            <xm:f>Critério!$B$15</xm:f>
            <x14:dxf>
              <fill>
                <patternFill>
                  <bgColor rgb="FFC00000"/>
                </patternFill>
              </fill>
            </x14:dxf>
          </x14:cfRule>
          <x14:cfRule type="cellIs" priority="3" operator="equal" id="{BB996B74-B031-403D-A814-77C23109C779}">
            <xm:f>Critério!$B$16</xm:f>
            <x14:dxf>
              <fill>
                <patternFill>
                  <bgColor rgb="FFFF0000"/>
                </patternFill>
              </fill>
            </x14:dxf>
          </x14:cfRule>
          <x14:cfRule type="cellIs" priority="4" operator="equal" id="{D58C13C1-B526-4290-B47F-6EA5E12DCF8B}">
            <xm:f>Critério!$B$17</xm:f>
            <x14:dxf>
              <fill>
                <patternFill>
                  <bgColor theme="9" tint="-0.24994659260841701"/>
                </patternFill>
              </fill>
            </x14:dxf>
          </x14:cfRule>
          <x14:cfRule type="cellIs" priority="5" operator="equal" id="{26B52A86-2CF7-404A-8E19-E04BC94A8204}">
            <xm:f>Critério!$B$18</xm:f>
            <x14:dxf>
              <fill>
                <patternFill>
                  <bgColor rgb="FFFFFF00"/>
                </patternFill>
              </fill>
            </x14:dxf>
          </x14:cfRule>
          <x14:cfRule type="cellIs" priority="6" operator="equal" id="{BD259594-2058-4C4C-B4A9-8583FF0C0192}">
            <xm:f>Critério!$B$19</xm:f>
            <x14:dxf>
              <fill>
                <patternFill>
                  <bgColor rgb="FF00FF00"/>
                </patternFill>
              </fill>
            </x14:dxf>
          </x14:cfRule>
          <x14:cfRule type="cellIs" priority="7" operator="equal" id="{A7093335-1F82-4D55-BD66-D49707C4F009}">
            <xm:f>Critério!$B$20</xm:f>
            <x14:dxf>
              <fill>
                <patternFill>
                  <bgColor rgb="FF0070C0"/>
                </patternFill>
              </fill>
            </x14:dxf>
          </x14:cfRule>
          <xm:sqref>E19</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F2E82161-160E-4398-93C2-5468F34F284C}">
          <x14:formula1>
            <xm:f>Critério!$B$5:$B$10</xm:f>
          </x14:formula1>
          <xm:sqref>D5:D8 D17 D10:D12 D14:D15 D19</xm:sqref>
        </x14:dataValidation>
        <x14:dataValidation type="list" allowBlank="1" showInputMessage="1" showErrorMessage="1" xr:uid="{D3C67402-7D1C-4D9E-8935-570BE4656D3B}">
          <x14:formula1>
            <xm:f>Critério!$B$14:$B$20</xm:f>
          </x14:formula1>
          <xm:sqref>E5:E8 E17 E10:E12 E14:E15 E19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f89901-38f2-416d-8714-14bb2be597be">
      <Terms xmlns="http://schemas.microsoft.com/office/infopath/2007/PartnerControls"/>
    </lcf76f155ced4ddcb4097134ff3c332f>
    <TaxCatchAll xmlns="ebdc3e33-a938-4621-a68c-344ab604e3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B23154E24B42E489F5D468530E6FA49" ma:contentTypeVersion="18" ma:contentTypeDescription="Crie um novo documento." ma:contentTypeScope="" ma:versionID="9af97e4fc0bcb52e7b17915517febe36">
  <xsd:schema xmlns:xsd="http://www.w3.org/2001/XMLSchema" xmlns:xs="http://www.w3.org/2001/XMLSchema" xmlns:p="http://schemas.microsoft.com/office/2006/metadata/properties" xmlns:ns2="3df89901-38f2-416d-8714-14bb2be597be" xmlns:ns3="ebdc3e33-a938-4621-a68c-344ab604e353" targetNamespace="http://schemas.microsoft.com/office/2006/metadata/properties" ma:root="true" ma:fieldsID="e6b6f05772a3479403fb4a31422aa7dc" ns2:_="" ns3:_="">
    <xsd:import namespace="3df89901-38f2-416d-8714-14bb2be597be"/>
    <xsd:import namespace="ebdc3e33-a938-4621-a68c-344ab604e35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f89901-38f2-416d-8714-14bb2be59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019999f9-7a61-408c-94a7-f57a99e38856"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dc3e33-a938-4621-a68c-344ab604e353"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da877d63-000c-4531-8ed4-476732c12a31}" ma:internalName="TaxCatchAll" ma:showField="CatchAllData" ma:web="ebdc3e33-a938-4621-a68c-344ab604e3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C1459F-DE84-43D2-B337-FFFD155551ED}">
  <ds:schemaRefs>
    <ds:schemaRef ds:uri="http://www.w3.org/XML/1998/namespace"/>
    <ds:schemaRef ds:uri="ebdc3e33-a938-4621-a68c-344ab604e353"/>
    <ds:schemaRef ds:uri="http://schemas.microsoft.com/office/infopath/2007/PartnerControls"/>
    <ds:schemaRef ds:uri="http://purl.org/dc/dcmitype/"/>
    <ds:schemaRef ds:uri="http://schemas.openxmlformats.org/package/2006/metadata/core-properties"/>
    <ds:schemaRef ds:uri="3df89901-38f2-416d-8714-14bb2be597be"/>
    <ds:schemaRef ds:uri="http://schemas.microsoft.com/office/2006/documentManagement/types"/>
    <ds:schemaRef ds:uri="http://purl.org/dc/term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ACA01A9-6B8A-4E41-B2CF-5E2AF4170983}">
  <ds:schemaRefs>
    <ds:schemaRef ds:uri="http://schemas.microsoft.com/sharepoint/v3/contenttype/forms"/>
  </ds:schemaRefs>
</ds:datastoreItem>
</file>

<file path=customXml/itemProps3.xml><?xml version="1.0" encoding="utf-8"?>
<ds:datastoreItem xmlns:ds="http://schemas.openxmlformats.org/officeDocument/2006/customXml" ds:itemID="{9EE42550-EAC2-434D-ACD9-B4CFFB06DA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f89901-38f2-416d-8714-14bb2be597be"/>
    <ds:schemaRef ds:uri="ebdc3e33-a938-4621-a68c-344ab604e3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16</vt:i4>
      </vt:variant>
      <vt:variant>
        <vt:lpstr>Intervalos Nomeados</vt:lpstr>
      </vt:variant>
      <vt:variant>
        <vt:i4>2</vt:i4>
      </vt:variant>
    </vt:vector>
  </HeadingPairs>
  <TitlesOfParts>
    <vt:vector size="18" baseType="lpstr">
      <vt:lpstr>Capa</vt:lpstr>
      <vt:lpstr>Sumário</vt:lpstr>
      <vt:lpstr>Critério</vt:lpstr>
      <vt:lpstr>Elemento 01</vt:lpstr>
      <vt:lpstr>Elemento 02</vt:lpstr>
      <vt:lpstr>Elemento 03</vt:lpstr>
      <vt:lpstr>Elemento 04</vt:lpstr>
      <vt:lpstr>Elemento 05</vt:lpstr>
      <vt:lpstr>Elemento 06</vt:lpstr>
      <vt:lpstr>Elemento 07</vt:lpstr>
      <vt:lpstr>Elemento 08</vt:lpstr>
      <vt:lpstr>Elemento 09</vt:lpstr>
      <vt:lpstr>Elemento 10</vt:lpstr>
      <vt:lpstr>Elemento 11</vt:lpstr>
      <vt:lpstr>Elemento 12</vt:lpstr>
      <vt:lpstr>Elemento 13</vt:lpstr>
      <vt:lpstr>Critério!Area_de_impressao</vt:lpstr>
      <vt:lpstr>Sumário!Area_de_impressao</vt:lpstr>
    </vt:vector>
  </TitlesOfParts>
  <Manager/>
  <Company>Petrobras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Queila Lobato Dias - PrestServ</dc:creator>
  <cp:keywords/>
  <dc:description/>
  <cp:lastModifiedBy>Gabriel Gonçalves</cp:lastModifiedBy>
  <cp:revision/>
  <dcterms:created xsi:type="dcterms:W3CDTF">2023-02-09T19:05:17Z</dcterms:created>
  <dcterms:modified xsi:type="dcterms:W3CDTF">2024-04-30T18:55:19Z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480d37-4848-42ce-83aa-e003de3fa15d_Enabled">
    <vt:lpwstr>true</vt:lpwstr>
  </property>
  <property fmtid="{D5CDD505-2E9C-101B-9397-08002B2CF9AE}" pid="3" name="MSIP_Label_e4480d37-4848-42ce-83aa-e003de3fa15d_SetDate">
    <vt:lpwstr>2023-04-12T17:19:17Z</vt:lpwstr>
  </property>
  <property fmtid="{D5CDD505-2E9C-101B-9397-08002B2CF9AE}" pid="4" name="MSIP_Label_e4480d37-4848-42ce-83aa-e003de3fa15d_Method">
    <vt:lpwstr>Privileged</vt:lpwstr>
  </property>
  <property fmtid="{D5CDD505-2E9C-101B-9397-08002B2CF9AE}" pid="5" name="MSIP_Label_e4480d37-4848-42ce-83aa-e003de3fa15d_Name">
    <vt:lpwstr>Sensitive</vt:lpwstr>
  </property>
  <property fmtid="{D5CDD505-2E9C-101B-9397-08002B2CF9AE}" pid="6" name="MSIP_Label_e4480d37-4848-42ce-83aa-e003de3fa15d_SiteId">
    <vt:lpwstr>76e3e3ff-fce0-45ec-a946-bc44d69a9b7e</vt:lpwstr>
  </property>
  <property fmtid="{D5CDD505-2E9C-101B-9397-08002B2CF9AE}" pid="7" name="MSIP_Label_e4480d37-4848-42ce-83aa-e003de3fa15d_ActionId">
    <vt:lpwstr>b90c9114-d621-4b01-9769-719915445939</vt:lpwstr>
  </property>
  <property fmtid="{D5CDD505-2E9C-101B-9397-08002B2CF9AE}" pid="8" name="MSIP_Label_e4480d37-4848-42ce-83aa-e003de3fa15d_ContentBits">
    <vt:lpwstr>1</vt:lpwstr>
  </property>
  <property fmtid="{D5CDD505-2E9C-101B-9397-08002B2CF9AE}" pid="9" name="MSIP_Label_140b9f7d-8e3a-482f-9702-4b7ffc40985a_Enabled">
    <vt:lpwstr>true</vt:lpwstr>
  </property>
  <property fmtid="{D5CDD505-2E9C-101B-9397-08002B2CF9AE}" pid="10" name="MSIP_Label_140b9f7d-8e3a-482f-9702-4b7ffc40985a_SetDate">
    <vt:lpwstr>2024-01-24T19:32:36Z</vt:lpwstr>
  </property>
  <property fmtid="{D5CDD505-2E9C-101B-9397-08002B2CF9AE}" pid="11" name="MSIP_Label_140b9f7d-8e3a-482f-9702-4b7ffc40985a_Method">
    <vt:lpwstr>Privileged</vt:lpwstr>
  </property>
  <property fmtid="{D5CDD505-2E9C-101B-9397-08002B2CF9AE}" pid="12" name="MSIP_Label_140b9f7d-8e3a-482f-9702-4b7ffc40985a_Name">
    <vt:lpwstr>Pública</vt:lpwstr>
  </property>
  <property fmtid="{D5CDD505-2E9C-101B-9397-08002B2CF9AE}" pid="13" name="MSIP_Label_140b9f7d-8e3a-482f-9702-4b7ffc40985a_SiteId">
    <vt:lpwstr>5b6f6241-9a57-4be4-8e50-1dfa72e79a57</vt:lpwstr>
  </property>
  <property fmtid="{D5CDD505-2E9C-101B-9397-08002B2CF9AE}" pid="14" name="MSIP_Label_140b9f7d-8e3a-482f-9702-4b7ffc40985a_ActionId">
    <vt:lpwstr>37818c81-d4f9-4c01-be6d-8a29d146c8eb</vt:lpwstr>
  </property>
  <property fmtid="{D5CDD505-2E9C-101B-9397-08002B2CF9AE}" pid="15" name="MSIP_Label_140b9f7d-8e3a-482f-9702-4b7ffc40985a_ContentBits">
    <vt:lpwstr>2</vt:lpwstr>
  </property>
  <property fmtid="{D5CDD505-2E9C-101B-9397-08002B2CF9AE}" pid="16" name="ContentTypeId">
    <vt:lpwstr>0x0101004B23154E24B42E489F5D468530E6FA49</vt:lpwstr>
  </property>
  <property fmtid="{D5CDD505-2E9C-101B-9397-08002B2CF9AE}" pid="17" name="MediaServiceImageTags">
    <vt:lpwstr/>
  </property>
</Properties>
</file>